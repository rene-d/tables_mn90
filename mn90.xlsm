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René\Dropbox\plongée\mn90\"/>
    </mc:Choice>
  </mc:AlternateContent>
  <bookViews>
    <workbookView xWindow="0" yWindow="0" windowWidth="21675" windowHeight="15540" tabRatio="671" activeTab="1"/>
  </bookViews>
  <sheets>
    <sheet name="Aide" sheetId="8" r:id="rId1"/>
    <sheet name="Tensions" sheetId="7" r:id="rId2"/>
    <sheet name="MN90" sheetId="5" r:id="rId3"/>
    <sheet name="Tables" sheetId="1" r:id="rId4"/>
    <sheet name="Azote résiduel" sheetId="4" r:id="rId5"/>
    <sheet name="Majoration" sheetId="3" r:id="rId6"/>
    <sheet name="O2 pur" sheetId="6" r:id="rId7"/>
    <sheet name="Paramètres" sheetId="2" r:id="rId8"/>
    <sheet name="Exemples de profil" sheetId="10" r:id="rId9"/>
  </sheets>
  <functionGroups builtInGroupCount="18"/>
  <definedNames>
    <definedName name="dens">Paramètres!$B$2</definedName>
    <definedName name="dp">Paramètres!$B$6</definedName>
    <definedName name="gravitation">Paramètres!$B$3</definedName>
    <definedName name="msw">Paramètres!$B$10</definedName>
    <definedName name="Patm">Paramètres!$B$4</definedName>
    <definedName name="pctN2">Paramètres!$B$7</definedName>
    <definedName name="Pwvp">Paramètres!$B$8</definedName>
    <definedName name="use_schreiner">Paramètres!$B$9</definedName>
    <definedName name="vr">Paramètres!$B$5</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N9" i="7" l="1"/>
  <c r="N8" i="7"/>
  <c r="M9" i="7"/>
  <c r="M8" i="7"/>
  <c r="L9" i="7"/>
  <c r="L8" i="7"/>
  <c r="K9" i="7"/>
  <c r="K8" i="7"/>
  <c r="J9" i="7"/>
  <c r="J8" i="7"/>
  <c r="I9" i="7"/>
  <c r="I8" i="7"/>
  <c r="H9" i="7"/>
  <c r="H8" i="7"/>
  <c r="G9" i="7"/>
  <c r="G8" i="7"/>
  <c r="F9" i="7"/>
  <c r="F8" i="7"/>
  <c r="E9" i="7"/>
  <c r="E8" i="7"/>
  <c r="D16" i="7"/>
  <c r="E10" i="7"/>
  <c r="E16" i="7"/>
  <c r="F10" i="7"/>
  <c r="F16" i="7"/>
  <c r="G10" i="7"/>
  <c r="G16" i="7"/>
  <c r="H10" i="7"/>
  <c r="H16" i="7"/>
  <c r="I10" i="7"/>
  <c r="I16" i="7"/>
  <c r="J10" i="7"/>
  <c r="J16" i="7"/>
  <c r="K10" i="7"/>
  <c r="K16" i="7"/>
  <c r="L10" i="7"/>
  <c r="L16" i="7"/>
  <c r="M10" i="7"/>
  <c r="M16" i="7"/>
  <c r="N10" i="7"/>
  <c r="N16" i="7"/>
  <c r="N30" i="7"/>
  <c r="D17" i="7"/>
  <c r="E17" i="7"/>
  <c r="F17" i="7"/>
  <c r="G17" i="7"/>
  <c r="H17" i="7"/>
  <c r="I17" i="7"/>
  <c r="J17" i="7"/>
  <c r="K17" i="7"/>
  <c r="L17" i="7"/>
  <c r="M17" i="7"/>
  <c r="N17" i="7"/>
  <c r="N31" i="7"/>
  <c r="D18" i="7"/>
  <c r="E18" i="7"/>
  <c r="F18" i="7"/>
  <c r="G18" i="7"/>
  <c r="H18" i="7"/>
  <c r="I18" i="7"/>
  <c r="J18" i="7"/>
  <c r="K18" i="7"/>
  <c r="L18" i="7"/>
  <c r="M18" i="7"/>
  <c r="N18" i="7"/>
  <c r="N32" i="7"/>
  <c r="D19" i="7"/>
  <c r="E19" i="7"/>
  <c r="F19" i="7"/>
  <c r="G19" i="7"/>
  <c r="H19" i="7"/>
  <c r="I19" i="7"/>
  <c r="J19" i="7"/>
  <c r="K19" i="7"/>
  <c r="L19" i="7"/>
  <c r="M19" i="7"/>
  <c r="N19" i="7"/>
  <c r="N33" i="7"/>
  <c r="D20" i="7"/>
  <c r="E20" i="7"/>
  <c r="F20" i="7"/>
  <c r="G20" i="7"/>
  <c r="H20" i="7"/>
  <c r="I20" i="7"/>
  <c r="J20" i="7"/>
  <c r="K20" i="7"/>
  <c r="L20" i="7"/>
  <c r="M20" i="7"/>
  <c r="N20" i="7"/>
  <c r="N34" i="7"/>
  <c r="D21" i="7"/>
  <c r="E21" i="7"/>
  <c r="F21" i="7"/>
  <c r="G21" i="7"/>
  <c r="H21" i="7"/>
  <c r="I21" i="7"/>
  <c r="J21" i="7"/>
  <c r="K21" i="7"/>
  <c r="L21" i="7"/>
  <c r="M21" i="7"/>
  <c r="N21" i="7"/>
  <c r="N35" i="7"/>
  <c r="D22" i="7"/>
  <c r="E22" i="7"/>
  <c r="F22" i="7"/>
  <c r="G22" i="7"/>
  <c r="H22" i="7"/>
  <c r="I22" i="7"/>
  <c r="J22" i="7"/>
  <c r="K22" i="7"/>
  <c r="L22" i="7"/>
  <c r="M22" i="7"/>
  <c r="N22" i="7"/>
  <c r="N36" i="7"/>
  <c r="D23" i="7"/>
  <c r="E23" i="7"/>
  <c r="F23" i="7"/>
  <c r="G23" i="7"/>
  <c r="H23" i="7"/>
  <c r="I23" i="7"/>
  <c r="J23" i="7"/>
  <c r="K23" i="7"/>
  <c r="L23" i="7"/>
  <c r="M23" i="7"/>
  <c r="N23" i="7"/>
  <c r="N37" i="7"/>
  <c r="D24" i="7"/>
  <c r="E24" i="7"/>
  <c r="F24" i="7"/>
  <c r="G24" i="7"/>
  <c r="H24" i="7"/>
  <c r="I24" i="7"/>
  <c r="J24" i="7"/>
  <c r="K24" i="7"/>
  <c r="L24" i="7"/>
  <c r="M24" i="7"/>
  <c r="N24" i="7"/>
  <c r="N38" i="7"/>
  <c r="D25" i="7"/>
  <c r="E25" i="7"/>
  <c r="F25" i="7"/>
  <c r="G25" i="7"/>
  <c r="H25" i="7"/>
  <c r="I25" i="7"/>
  <c r="J25" i="7"/>
  <c r="K25" i="7"/>
  <c r="L25" i="7"/>
  <c r="M25" i="7"/>
  <c r="N25" i="7"/>
  <c r="N39" i="7"/>
  <c r="D26" i="7"/>
  <c r="E26" i="7"/>
  <c r="F26" i="7"/>
  <c r="G26" i="7"/>
  <c r="H26" i="7"/>
  <c r="I26" i="7"/>
  <c r="J26" i="7"/>
  <c r="K26" i="7"/>
  <c r="L26" i="7"/>
  <c r="M26" i="7"/>
  <c r="N26" i="7"/>
  <c r="N40" i="7"/>
  <c r="D27" i="7"/>
  <c r="E27" i="7"/>
  <c r="F27" i="7"/>
  <c r="G27" i="7"/>
  <c r="H27" i="7"/>
  <c r="I27" i="7"/>
  <c r="J27" i="7"/>
  <c r="K27" i="7"/>
  <c r="L27" i="7"/>
  <c r="M27" i="7"/>
  <c r="N27" i="7"/>
  <c r="N41" i="7"/>
  <c r="N43" i="7"/>
  <c r="M30" i="7"/>
  <c r="M31" i="7"/>
  <c r="M32" i="7"/>
  <c r="M33" i="7"/>
  <c r="M34" i="7"/>
  <c r="M35" i="7"/>
  <c r="M36" i="7"/>
  <c r="M37" i="7"/>
  <c r="M38" i="7"/>
  <c r="M39" i="7"/>
  <c r="M40" i="7"/>
  <c r="M41" i="7"/>
  <c r="M43" i="7"/>
  <c r="L30" i="7"/>
  <c r="L31" i="7"/>
  <c r="L32" i="7"/>
  <c r="L33" i="7"/>
  <c r="L34" i="7"/>
  <c r="L35" i="7"/>
  <c r="L36" i="7"/>
  <c r="L37" i="7"/>
  <c r="L38" i="7"/>
  <c r="L39" i="7"/>
  <c r="L40" i="7"/>
  <c r="L41" i="7"/>
  <c r="L43" i="7"/>
  <c r="K30" i="7"/>
  <c r="K31" i="7"/>
  <c r="K32" i="7"/>
  <c r="K33" i="7"/>
  <c r="K34" i="7"/>
  <c r="K35" i="7"/>
  <c r="K36" i="7"/>
  <c r="K37" i="7"/>
  <c r="K38" i="7"/>
  <c r="K39" i="7"/>
  <c r="K40" i="7"/>
  <c r="K41" i="7"/>
  <c r="K43" i="7"/>
  <c r="J30" i="7"/>
  <c r="J31" i="7"/>
  <c r="J32" i="7"/>
  <c r="J33" i="7"/>
  <c r="J34" i="7"/>
  <c r="J35" i="7"/>
  <c r="J36" i="7"/>
  <c r="J37" i="7"/>
  <c r="J38" i="7"/>
  <c r="J39" i="7"/>
  <c r="J40" i="7"/>
  <c r="J41" i="7"/>
  <c r="J43" i="7"/>
  <c r="I30" i="7"/>
  <c r="I31" i="7"/>
  <c r="I32" i="7"/>
  <c r="I33" i="7"/>
  <c r="I34" i="7"/>
  <c r="I35" i="7"/>
  <c r="I36" i="7"/>
  <c r="I37" i="7"/>
  <c r="I38" i="7"/>
  <c r="I39" i="7"/>
  <c r="I40" i="7"/>
  <c r="I41" i="7"/>
  <c r="I43" i="7"/>
  <c r="H30" i="7"/>
  <c r="H31" i="7"/>
  <c r="H32" i="7"/>
  <c r="H33" i="7"/>
  <c r="H34" i="7"/>
  <c r="H35" i="7"/>
  <c r="H36" i="7"/>
  <c r="H37" i="7"/>
  <c r="H38" i="7"/>
  <c r="H39" i="7"/>
  <c r="H40" i="7"/>
  <c r="H41" i="7"/>
  <c r="H43" i="7"/>
  <c r="G30" i="7"/>
  <c r="G31" i="7"/>
  <c r="G32" i="7"/>
  <c r="G33" i="7"/>
  <c r="G34" i="7"/>
  <c r="G35" i="7"/>
  <c r="G36" i="7"/>
  <c r="G37" i="7"/>
  <c r="G38" i="7"/>
  <c r="G39" i="7"/>
  <c r="G40" i="7"/>
  <c r="G41" i="7"/>
  <c r="G43" i="7"/>
  <c r="F30" i="7"/>
  <c r="F31" i="7"/>
  <c r="F32" i="7"/>
  <c r="F33" i="7"/>
  <c r="F34" i="7"/>
  <c r="F35" i="7"/>
  <c r="F36" i="7"/>
  <c r="F37" i="7"/>
  <c r="F38" i="7"/>
  <c r="F39" i="7"/>
  <c r="F40" i="7"/>
  <c r="F41" i="7"/>
  <c r="F43" i="7"/>
  <c r="E41" i="7"/>
  <c r="E40" i="7"/>
  <c r="E39" i="7"/>
  <c r="E38" i="7"/>
  <c r="E37" i="7"/>
  <c r="E36" i="7"/>
  <c r="E35" i="7"/>
  <c r="E34" i="7"/>
  <c r="E33" i="7"/>
  <c r="E32" i="7"/>
  <c r="E31" i="7"/>
  <c r="E30" i="7"/>
  <c r="N13" i="7"/>
  <c r="M13" i="7"/>
  <c r="L13" i="7"/>
  <c r="K13" i="7"/>
  <c r="J13" i="7"/>
  <c r="I13" i="7"/>
  <c r="H13" i="7"/>
  <c r="G13" i="7"/>
  <c r="F13" i="7"/>
  <c r="E13" i="7"/>
  <c r="N12" i="7"/>
  <c r="M12" i="7"/>
  <c r="L12" i="7"/>
  <c r="K12" i="7"/>
  <c r="J12" i="7"/>
  <c r="I12" i="7"/>
  <c r="H12" i="7"/>
  <c r="G12" i="7"/>
  <c r="F12" i="7"/>
  <c r="E12" i="7"/>
  <c r="N11" i="7"/>
  <c r="M11" i="7"/>
  <c r="L11" i="7"/>
  <c r="K11" i="7"/>
  <c r="J11" i="7"/>
  <c r="I11" i="7"/>
  <c r="H11" i="7"/>
  <c r="G11" i="7"/>
  <c r="F11" i="7"/>
  <c r="E11" i="7"/>
  <c r="B10" i="2"/>
  <c r="P18" i="6"/>
  <c r="O18" i="6"/>
  <c r="N18" i="6"/>
  <c r="M18" i="6"/>
  <c r="L18" i="6"/>
  <c r="K18" i="6"/>
  <c r="J18" i="6"/>
  <c r="I18" i="6"/>
  <c r="H18" i="6"/>
  <c r="G18" i="6"/>
  <c r="F18" i="6"/>
  <c r="E18" i="6"/>
  <c r="D18" i="6"/>
  <c r="C18" i="6"/>
  <c r="P17" i="6"/>
  <c r="O17" i="6"/>
  <c r="N17" i="6"/>
  <c r="M17" i="6"/>
  <c r="L17" i="6"/>
  <c r="K17" i="6"/>
  <c r="J17" i="6"/>
  <c r="I17" i="6"/>
  <c r="H17" i="6"/>
  <c r="G17" i="6"/>
  <c r="F17" i="6"/>
  <c r="E17" i="6"/>
  <c r="D17" i="6"/>
  <c r="C17" i="6"/>
  <c r="P16" i="6"/>
  <c r="O16" i="6"/>
  <c r="N16" i="6"/>
  <c r="M16" i="6"/>
  <c r="L16" i="6"/>
  <c r="K16" i="6"/>
  <c r="J16" i="6"/>
  <c r="I16" i="6"/>
  <c r="H16" i="6"/>
  <c r="G16" i="6"/>
  <c r="F16" i="6"/>
  <c r="E16" i="6"/>
  <c r="D16" i="6"/>
  <c r="C16" i="6"/>
  <c r="O15" i="6"/>
  <c r="N15" i="6"/>
  <c r="M15" i="6"/>
  <c r="L15" i="6"/>
  <c r="K15" i="6"/>
  <c r="J15" i="6"/>
  <c r="I15" i="6"/>
  <c r="H15" i="6"/>
  <c r="G15" i="6"/>
  <c r="F15" i="6"/>
  <c r="E15" i="6"/>
  <c r="D15" i="6"/>
  <c r="C15" i="6"/>
  <c r="N14" i="6"/>
  <c r="M14" i="6"/>
  <c r="L14" i="6"/>
  <c r="K14" i="6"/>
  <c r="J14" i="6"/>
  <c r="I14" i="6"/>
  <c r="H14" i="6"/>
  <c r="G14" i="6"/>
  <c r="F14" i="6"/>
  <c r="E14" i="6"/>
  <c r="D14" i="6"/>
  <c r="C14" i="6"/>
  <c r="M13" i="6"/>
  <c r="L13" i="6"/>
  <c r="K13" i="6"/>
  <c r="J13" i="6"/>
  <c r="I13" i="6"/>
  <c r="H13" i="6"/>
  <c r="G13" i="6"/>
  <c r="F13" i="6"/>
  <c r="E13" i="6"/>
  <c r="D13" i="6"/>
  <c r="C13" i="6"/>
  <c r="L12" i="6"/>
  <c r="K12" i="6"/>
  <c r="J12" i="6"/>
  <c r="I12" i="6"/>
  <c r="H12" i="6"/>
  <c r="G12" i="6"/>
  <c r="F12" i="6"/>
  <c r="E12" i="6"/>
  <c r="D12" i="6"/>
  <c r="C12" i="6"/>
  <c r="L11" i="6"/>
  <c r="K11" i="6"/>
  <c r="J11" i="6"/>
  <c r="I11" i="6"/>
  <c r="H11" i="6"/>
  <c r="G11" i="6"/>
  <c r="F11" i="6"/>
  <c r="E11" i="6"/>
  <c r="D11" i="6"/>
  <c r="C11" i="6"/>
  <c r="K10" i="6"/>
  <c r="J10" i="6"/>
  <c r="I10" i="6"/>
  <c r="H10" i="6"/>
  <c r="G10" i="6"/>
  <c r="F10" i="6"/>
  <c r="E10" i="6"/>
  <c r="D10" i="6"/>
  <c r="C10" i="6"/>
  <c r="J9" i="6"/>
  <c r="I9" i="6"/>
  <c r="H9" i="6"/>
  <c r="G9" i="6"/>
  <c r="F9" i="6"/>
  <c r="E9" i="6"/>
  <c r="D9" i="6"/>
  <c r="C9" i="6"/>
  <c r="I8" i="6"/>
  <c r="H8" i="6"/>
  <c r="G8" i="6"/>
  <c r="F8" i="6"/>
  <c r="E8" i="6"/>
  <c r="D8" i="6"/>
  <c r="C8" i="6"/>
  <c r="H7" i="6"/>
  <c r="G7" i="6"/>
  <c r="F7" i="6"/>
  <c r="E7" i="6"/>
  <c r="D7" i="6"/>
  <c r="C7" i="6"/>
  <c r="G6" i="6"/>
  <c r="F6" i="6"/>
  <c r="E6" i="6"/>
  <c r="D6" i="6"/>
  <c r="C6" i="6"/>
  <c r="F5" i="6"/>
  <c r="E5" i="6"/>
  <c r="D5" i="6"/>
  <c r="C5" i="6"/>
  <c r="E4" i="6"/>
  <c r="D4" i="6"/>
  <c r="C4" i="6"/>
  <c r="C3" i="6"/>
  <c r="U20" i="3"/>
  <c r="T20" i="3"/>
  <c r="S20" i="3"/>
  <c r="R20" i="3"/>
  <c r="Q20" i="3"/>
  <c r="P20" i="3"/>
  <c r="O20" i="3"/>
  <c r="N20" i="3"/>
  <c r="M20" i="3"/>
  <c r="L20" i="3"/>
  <c r="K20" i="3"/>
  <c r="J20" i="3"/>
  <c r="I20" i="3"/>
  <c r="H20" i="3"/>
  <c r="G20" i="3"/>
  <c r="F20" i="3"/>
  <c r="E20" i="3"/>
  <c r="D20" i="3"/>
  <c r="C20" i="3"/>
  <c r="B20" i="3"/>
  <c r="U19" i="3"/>
  <c r="T19" i="3"/>
  <c r="S19" i="3"/>
  <c r="R19" i="3"/>
  <c r="Q19" i="3"/>
  <c r="P19" i="3"/>
  <c r="O19" i="3"/>
  <c r="N19" i="3"/>
  <c r="M19" i="3"/>
  <c r="L19" i="3"/>
  <c r="K19" i="3"/>
  <c r="J19" i="3"/>
  <c r="I19" i="3"/>
  <c r="H19" i="3"/>
  <c r="G19" i="3"/>
  <c r="F19" i="3"/>
  <c r="E19" i="3"/>
  <c r="D19" i="3"/>
  <c r="C19" i="3"/>
  <c r="B19" i="3"/>
  <c r="U18" i="3"/>
  <c r="T18" i="3"/>
  <c r="S18" i="3"/>
  <c r="R18" i="3"/>
  <c r="Q18" i="3"/>
  <c r="P18" i="3"/>
  <c r="O18" i="3"/>
  <c r="N18" i="3"/>
  <c r="M18" i="3"/>
  <c r="L18" i="3"/>
  <c r="K18" i="3"/>
  <c r="J18" i="3"/>
  <c r="I18" i="3"/>
  <c r="H18" i="3"/>
  <c r="G18" i="3"/>
  <c r="F18" i="3"/>
  <c r="E18" i="3"/>
  <c r="D18" i="3"/>
  <c r="C18" i="3"/>
  <c r="B18" i="3"/>
  <c r="U17" i="3"/>
  <c r="T17" i="3"/>
  <c r="S17" i="3"/>
  <c r="R17" i="3"/>
  <c r="Q17" i="3"/>
  <c r="P17" i="3"/>
  <c r="O17" i="3"/>
  <c r="N17" i="3"/>
  <c r="M17" i="3"/>
  <c r="L17" i="3"/>
  <c r="K17" i="3"/>
  <c r="J17" i="3"/>
  <c r="I17" i="3"/>
  <c r="H17" i="3"/>
  <c r="G17" i="3"/>
  <c r="F17" i="3"/>
  <c r="E17" i="3"/>
  <c r="D17" i="3"/>
  <c r="C17" i="3"/>
  <c r="B17" i="3"/>
  <c r="U16" i="3"/>
  <c r="T16" i="3"/>
  <c r="S16" i="3"/>
  <c r="R16" i="3"/>
  <c r="Q16" i="3"/>
  <c r="P16" i="3"/>
  <c r="O16" i="3"/>
  <c r="N16" i="3"/>
  <c r="M16" i="3"/>
  <c r="L16" i="3"/>
  <c r="K16" i="3"/>
  <c r="J16" i="3"/>
  <c r="I16" i="3"/>
  <c r="H16" i="3"/>
  <c r="G16" i="3"/>
  <c r="F16" i="3"/>
  <c r="E16" i="3"/>
  <c r="D16" i="3"/>
  <c r="C16" i="3"/>
  <c r="B16" i="3"/>
  <c r="U15" i="3"/>
  <c r="T15" i="3"/>
  <c r="S15" i="3"/>
  <c r="R15" i="3"/>
  <c r="Q15" i="3"/>
  <c r="P15" i="3"/>
  <c r="O15" i="3"/>
  <c r="N15" i="3"/>
  <c r="M15" i="3"/>
  <c r="L15" i="3"/>
  <c r="K15" i="3"/>
  <c r="J15" i="3"/>
  <c r="I15" i="3"/>
  <c r="H15" i="3"/>
  <c r="G15" i="3"/>
  <c r="F15" i="3"/>
  <c r="E15" i="3"/>
  <c r="D15" i="3"/>
  <c r="C15" i="3"/>
  <c r="B15" i="3"/>
  <c r="U14" i="3"/>
  <c r="T14" i="3"/>
  <c r="S14" i="3"/>
  <c r="R14" i="3"/>
  <c r="Q14" i="3"/>
  <c r="P14" i="3"/>
  <c r="O14" i="3"/>
  <c r="N14" i="3"/>
  <c r="M14" i="3"/>
  <c r="L14" i="3"/>
  <c r="K14" i="3"/>
  <c r="J14" i="3"/>
  <c r="I14" i="3"/>
  <c r="H14" i="3"/>
  <c r="G14" i="3"/>
  <c r="F14" i="3"/>
  <c r="E14" i="3"/>
  <c r="D14" i="3"/>
  <c r="C14" i="3"/>
  <c r="B14" i="3"/>
  <c r="U13" i="3"/>
  <c r="T13" i="3"/>
  <c r="S13" i="3"/>
  <c r="R13" i="3"/>
  <c r="Q13" i="3"/>
  <c r="P13" i="3"/>
  <c r="O13" i="3"/>
  <c r="N13" i="3"/>
  <c r="M13" i="3"/>
  <c r="L13" i="3"/>
  <c r="K13" i="3"/>
  <c r="J13" i="3"/>
  <c r="I13" i="3"/>
  <c r="H13" i="3"/>
  <c r="G13" i="3"/>
  <c r="F13" i="3"/>
  <c r="E13" i="3"/>
  <c r="D13" i="3"/>
  <c r="C13" i="3"/>
  <c r="B13" i="3"/>
  <c r="U12" i="3"/>
  <c r="T12" i="3"/>
  <c r="S12" i="3"/>
  <c r="R12" i="3"/>
  <c r="Q12" i="3"/>
  <c r="P12" i="3"/>
  <c r="O12" i="3"/>
  <c r="N12" i="3"/>
  <c r="M12" i="3"/>
  <c r="L12" i="3"/>
  <c r="K12" i="3"/>
  <c r="J12" i="3"/>
  <c r="I12" i="3"/>
  <c r="H12" i="3"/>
  <c r="G12" i="3"/>
  <c r="F12" i="3"/>
  <c r="E12" i="3"/>
  <c r="D12" i="3"/>
  <c r="C12" i="3"/>
  <c r="B12" i="3"/>
  <c r="U11" i="3"/>
  <c r="T11" i="3"/>
  <c r="S11" i="3"/>
  <c r="R11" i="3"/>
  <c r="Q11" i="3"/>
  <c r="P11" i="3"/>
  <c r="O11" i="3"/>
  <c r="N11" i="3"/>
  <c r="M11" i="3"/>
  <c r="L11" i="3"/>
  <c r="K11" i="3"/>
  <c r="J11" i="3"/>
  <c r="I11" i="3"/>
  <c r="H11" i="3"/>
  <c r="G11" i="3"/>
  <c r="F11" i="3"/>
  <c r="E11" i="3"/>
  <c r="D11" i="3"/>
  <c r="C11" i="3"/>
  <c r="B11" i="3"/>
  <c r="U10" i="3"/>
  <c r="T10" i="3"/>
  <c r="S10" i="3"/>
  <c r="R10" i="3"/>
  <c r="Q10" i="3"/>
  <c r="P10" i="3"/>
  <c r="O10" i="3"/>
  <c r="N10" i="3"/>
  <c r="M10" i="3"/>
  <c r="L10" i="3"/>
  <c r="K10" i="3"/>
  <c r="J10" i="3"/>
  <c r="I10" i="3"/>
  <c r="H10" i="3"/>
  <c r="G10" i="3"/>
  <c r="F10" i="3"/>
  <c r="E10" i="3"/>
  <c r="D10" i="3"/>
  <c r="C10" i="3"/>
  <c r="B10" i="3"/>
  <c r="U9" i="3"/>
  <c r="T9" i="3"/>
  <c r="S9" i="3"/>
  <c r="R9" i="3"/>
  <c r="Q9" i="3"/>
  <c r="P9" i="3"/>
  <c r="O9" i="3"/>
  <c r="N9" i="3"/>
  <c r="M9" i="3"/>
  <c r="L9" i="3"/>
  <c r="K9" i="3"/>
  <c r="J9" i="3"/>
  <c r="I9" i="3"/>
  <c r="H9" i="3"/>
  <c r="G9" i="3"/>
  <c r="F9" i="3"/>
  <c r="E9" i="3"/>
  <c r="D9" i="3"/>
  <c r="C9" i="3"/>
  <c r="B9" i="3"/>
  <c r="U8" i="3"/>
  <c r="T8" i="3"/>
  <c r="S8" i="3"/>
  <c r="R8" i="3"/>
  <c r="Q8" i="3"/>
  <c r="P8" i="3"/>
  <c r="O8" i="3"/>
  <c r="N8" i="3"/>
  <c r="M8" i="3"/>
  <c r="L8" i="3"/>
  <c r="K8" i="3"/>
  <c r="J8" i="3"/>
  <c r="I8" i="3"/>
  <c r="H8" i="3"/>
  <c r="G8" i="3"/>
  <c r="F8" i="3"/>
  <c r="E8" i="3"/>
  <c r="D8" i="3"/>
  <c r="C8" i="3"/>
  <c r="B8" i="3"/>
  <c r="U7" i="3"/>
  <c r="T7" i="3"/>
  <c r="S7" i="3"/>
  <c r="R7" i="3"/>
  <c r="Q7" i="3"/>
  <c r="P7" i="3"/>
  <c r="O7" i="3"/>
  <c r="N7" i="3"/>
  <c r="M7" i="3"/>
  <c r="L7" i="3"/>
  <c r="K7" i="3"/>
  <c r="J7" i="3"/>
  <c r="I7" i="3"/>
  <c r="H7" i="3"/>
  <c r="G7" i="3"/>
  <c r="F7" i="3"/>
  <c r="E7" i="3"/>
  <c r="D7" i="3"/>
  <c r="C7" i="3"/>
  <c r="B7" i="3"/>
  <c r="U6" i="3"/>
  <c r="T6" i="3"/>
  <c r="S6" i="3"/>
  <c r="R6" i="3"/>
  <c r="Q6" i="3"/>
  <c r="P6" i="3"/>
  <c r="O6" i="3"/>
  <c r="N6" i="3"/>
  <c r="M6" i="3"/>
  <c r="L6" i="3"/>
  <c r="K6" i="3"/>
  <c r="J6" i="3"/>
  <c r="I6" i="3"/>
  <c r="H6" i="3"/>
  <c r="G6" i="3"/>
  <c r="F6" i="3"/>
  <c r="E6" i="3"/>
  <c r="D6" i="3"/>
  <c r="C6" i="3"/>
  <c r="B6" i="3"/>
  <c r="U5" i="3"/>
  <c r="T5" i="3"/>
  <c r="S5" i="3"/>
  <c r="R5" i="3"/>
  <c r="Q5" i="3"/>
  <c r="P5" i="3"/>
  <c r="O5" i="3"/>
  <c r="N5" i="3"/>
  <c r="M5" i="3"/>
  <c r="L5" i="3"/>
  <c r="K5" i="3"/>
  <c r="J5" i="3"/>
  <c r="I5" i="3"/>
  <c r="H5" i="3"/>
  <c r="G5" i="3"/>
  <c r="F5" i="3"/>
  <c r="E5" i="3"/>
  <c r="D5" i="3"/>
  <c r="C5" i="3"/>
  <c r="B5" i="3"/>
  <c r="U4" i="3"/>
  <c r="T4" i="3"/>
  <c r="S4" i="3"/>
  <c r="R4" i="3"/>
  <c r="Q4" i="3"/>
  <c r="P4" i="3"/>
  <c r="O4" i="3"/>
  <c r="N4" i="3"/>
  <c r="M4" i="3"/>
  <c r="L4" i="3"/>
  <c r="K4" i="3"/>
  <c r="J4" i="3"/>
  <c r="I4" i="3"/>
  <c r="H4" i="3"/>
  <c r="G4" i="3"/>
  <c r="F4" i="3"/>
  <c r="E4" i="3"/>
  <c r="D4" i="3"/>
  <c r="C4" i="3"/>
  <c r="B4" i="3"/>
  <c r="U3" i="3"/>
  <c r="T3" i="3"/>
  <c r="S3" i="3"/>
  <c r="R3" i="3"/>
  <c r="Q3" i="3"/>
  <c r="P3" i="3"/>
  <c r="O3" i="3"/>
  <c r="N3" i="3"/>
  <c r="M3" i="3"/>
  <c r="L3" i="3"/>
  <c r="K3" i="3"/>
  <c r="J3" i="3"/>
  <c r="I3" i="3"/>
  <c r="H3" i="3"/>
  <c r="G3" i="3"/>
  <c r="F3" i="3"/>
  <c r="E3" i="3"/>
  <c r="D3" i="3"/>
  <c r="C3" i="3"/>
  <c r="B3" i="3"/>
  <c r="L18" i="4"/>
  <c r="K18" i="4"/>
  <c r="J18" i="4"/>
  <c r="I18" i="4"/>
  <c r="H18" i="4"/>
  <c r="G18" i="4"/>
  <c r="F18" i="4"/>
  <c r="E18" i="4"/>
  <c r="D18" i="4"/>
  <c r="C18" i="4"/>
  <c r="B18" i="4"/>
  <c r="L17" i="4"/>
  <c r="K17" i="4"/>
  <c r="J17" i="4"/>
  <c r="I17" i="4"/>
  <c r="H17" i="4"/>
  <c r="G17" i="4"/>
  <c r="F17" i="4"/>
  <c r="E17" i="4"/>
  <c r="D17" i="4"/>
  <c r="C17" i="4"/>
  <c r="B17" i="4"/>
  <c r="L16" i="4"/>
  <c r="K16" i="4"/>
  <c r="J16" i="4"/>
  <c r="I16" i="4"/>
  <c r="H16" i="4"/>
  <c r="G16" i="4"/>
  <c r="F16" i="4"/>
  <c r="E16" i="4"/>
  <c r="D16" i="4"/>
  <c r="C16" i="4"/>
  <c r="B16" i="4"/>
  <c r="L15" i="4"/>
  <c r="K15" i="4"/>
  <c r="J15" i="4"/>
  <c r="I15" i="4"/>
  <c r="H15" i="4"/>
  <c r="G15" i="4"/>
  <c r="F15" i="4"/>
  <c r="E15" i="4"/>
  <c r="D15" i="4"/>
  <c r="C15" i="4"/>
  <c r="B15" i="4"/>
  <c r="L14" i="4"/>
  <c r="K14" i="4"/>
  <c r="J14" i="4"/>
  <c r="I14" i="4"/>
  <c r="H14" i="4"/>
  <c r="G14" i="4"/>
  <c r="F14" i="4"/>
  <c r="E14" i="4"/>
  <c r="D14" i="4"/>
  <c r="C14" i="4"/>
  <c r="B14" i="4"/>
  <c r="L13" i="4"/>
  <c r="K13" i="4"/>
  <c r="J13" i="4"/>
  <c r="I13" i="4"/>
  <c r="H13" i="4"/>
  <c r="G13" i="4"/>
  <c r="F13" i="4"/>
  <c r="E13" i="4"/>
  <c r="D13" i="4"/>
  <c r="C13" i="4"/>
  <c r="B13" i="4"/>
  <c r="L12" i="4"/>
  <c r="K12" i="4"/>
  <c r="J12" i="4"/>
  <c r="I12" i="4"/>
  <c r="H12" i="4"/>
  <c r="G12" i="4"/>
  <c r="F12" i="4"/>
  <c r="E12" i="4"/>
  <c r="D12" i="4"/>
  <c r="C12" i="4"/>
  <c r="B12" i="4"/>
  <c r="L11" i="4"/>
  <c r="K11" i="4"/>
  <c r="J11" i="4"/>
  <c r="I11" i="4"/>
  <c r="H11" i="4"/>
  <c r="G11" i="4"/>
  <c r="F11" i="4"/>
  <c r="E11" i="4"/>
  <c r="D11" i="4"/>
  <c r="C11" i="4"/>
  <c r="B11" i="4"/>
  <c r="L10" i="4"/>
  <c r="K10" i="4"/>
  <c r="J10" i="4"/>
  <c r="I10" i="4"/>
  <c r="H10" i="4"/>
  <c r="G10" i="4"/>
  <c r="F10" i="4"/>
  <c r="E10" i="4"/>
  <c r="D10" i="4"/>
  <c r="C10" i="4"/>
  <c r="B10" i="4"/>
  <c r="L9" i="4"/>
  <c r="K9" i="4"/>
  <c r="J9" i="4"/>
  <c r="I9" i="4"/>
  <c r="H9" i="4"/>
  <c r="G9" i="4"/>
  <c r="F9" i="4"/>
  <c r="E9" i="4"/>
  <c r="D9" i="4"/>
  <c r="C9" i="4"/>
  <c r="B9" i="4"/>
  <c r="L8" i="4"/>
  <c r="K8" i="4"/>
  <c r="J8" i="4"/>
  <c r="I8" i="4"/>
  <c r="H8" i="4"/>
  <c r="G8" i="4"/>
  <c r="F8" i="4"/>
  <c r="E8" i="4"/>
  <c r="D8" i="4"/>
  <c r="C8" i="4"/>
  <c r="B8" i="4"/>
  <c r="L7" i="4"/>
  <c r="K7" i="4"/>
  <c r="J7" i="4"/>
  <c r="I7" i="4"/>
  <c r="H7" i="4"/>
  <c r="G7" i="4"/>
  <c r="F7" i="4"/>
  <c r="E7" i="4"/>
  <c r="D7" i="4"/>
  <c r="C7" i="4"/>
  <c r="B7" i="4"/>
  <c r="L6" i="4"/>
  <c r="K6" i="4"/>
  <c r="J6" i="4"/>
  <c r="I6" i="4"/>
  <c r="H6" i="4"/>
  <c r="G6" i="4"/>
  <c r="F6" i="4"/>
  <c r="E6" i="4"/>
  <c r="D6" i="4"/>
  <c r="C6" i="4"/>
  <c r="B6" i="4"/>
  <c r="L5" i="4"/>
  <c r="K5" i="4"/>
  <c r="J5" i="4"/>
  <c r="I5" i="4"/>
  <c r="H5" i="4"/>
  <c r="G5" i="4"/>
  <c r="F5" i="4"/>
  <c r="E5" i="4"/>
  <c r="D5" i="4"/>
  <c r="C5" i="4"/>
  <c r="B5" i="4"/>
  <c r="L4" i="4"/>
  <c r="K4" i="4"/>
  <c r="J4" i="4"/>
  <c r="I4" i="4"/>
  <c r="H4" i="4"/>
  <c r="G4" i="4"/>
  <c r="F4" i="4"/>
  <c r="E4" i="4"/>
  <c r="D4" i="4"/>
  <c r="C4" i="4"/>
  <c r="B4" i="4"/>
  <c r="L3" i="4"/>
  <c r="K3" i="4"/>
  <c r="J3" i="4"/>
  <c r="I3" i="4"/>
  <c r="H3" i="4"/>
  <c r="G3" i="4"/>
  <c r="F3" i="4"/>
  <c r="E3" i="4"/>
  <c r="D3" i="4"/>
  <c r="C3" i="4"/>
  <c r="B3" i="4"/>
  <c r="W63" i="1" a="1"/>
  <c r="W63" i="1"/>
  <c r="X63" i="1"/>
  <c r="Y63" i="1"/>
  <c r="Z63" i="1"/>
  <c r="AA63" i="1"/>
  <c r="AB63" i="1"/>
  <c r="AC63" i="1"/>
  <c r="M63" i="1" a="1"/>
  <c r="M63" i="1"/>
  <c r="N63" i="1"/>
  <c r="O63" i="1"/>
  <c r="P63" i="1"/>
  <c r="Q63" i="1"/>
  <c r="R63" i="1"/>
  <c r="S63" i="1"/>
  <c r="C63" i="1" a="1"/>
  <c r="C63" i="1"/>
  <c r="D63" i="1"/>
  <c r="E63" i="1"/>
  <c r="F63" i="1"/>
  <c r="G63" i="1"/>
  <c r="H63" i="1"/>
  <c r="I63" i="1"/>
  <c r="W62" i="1" a="1"/>
  <c r="W62" i="1"/>
  <c r="X62" i="1"/>
  <c r="Y62" i="1"/>
  <c r="Z62" i="1"/>
  <c r="AA62" i="1"/>
  <c r="AB62" i="1"/>
  <c r="AC62" i="1"/>
  <c r="M62" i="1" a="1"/>
  <c r="M62" i="1"/>
  <c r="N62" i="1"/>
  <c r="O62" i="1"/>
  <c r="P62" i="1"/>
  <c r="Q62" i="1"/>
  <c r="R62" i="1"/>
  <c r="S62" i="1"/>
  <c r="C62" i="1" a="1"/>
  <c r="C62" i="1"/>
  <c r="D62" i="1"/>
  <c r="E62" i="1"/>
  <c r="F62" i="1"/>
  <c r="G62" i="1"/>
  <c r="H62" i="1"/>
  <c r="I62" i="1"/>
  <c r="W61" i="1" a="1"/>
  <c r="W61" i="1"/>
  <c r="X61" i="1"/>
  <c r="Y61" i="1"/>
  <c r="Z61" i="1"/>
  <c r="AA61" i="1"/>
  <c r="AB61" i="1"/>
  <c r="AC61" i="1"/>
  <c r="M61" i="1" a="1"/>
  <c r="M61" i="1"/>
  <c r="N61" i="1"/>
  <c r="O61" i="1"/>
  <c r="P61" i="1"/>
  <c r="Q61" i="1"/>
  <c r="R61" i="1"/>
  <c r="S61" i="1"/>
  <c r="C61" i="1" a="1"/>
  <c r="C61" i="1"/>
  <c r="D61" i="1"/>
  <c r="E61" i="1"/>
  <c r="F61" i="1"/>
  <c r="G61" i="1"/>
  <c r="H61" i="1"/>
  <c r="I61" i="1"/>
  <c r="W60" i="1" a="1"/>
  <c r="W60" i="1"/>
  <c r="X60" i="1"/>
  <c r="Y60" i="1"/>
  <c r="Z60" i="1"/>
  <c r="AA60" i="1"/>
  <c r="AB60" i="1"/>
  <c r="AC60" i="1"/>
  <c r="M60" i="1" a="1"/>
  <c r="M60" i="1"/>
  <c r="N60" i="1"/>
  <c r="O60" i="1"/>
  <c r="P60" i="1"/>
  <c r="Q60" i="1"/>
  <c r="R60" i="1"/>
  <c r="S60" i="1"/>
  <c r="C60" i="1" a="1"/>
  <c r="C60" i="1"/>
  <c r="D60" i="1"/>
  <c r="E60" i="1"/>
  <c r="F60" i="1"/>
  <c r="G60" i="1"/>
  <c r="H60" i="1"/>
  <c r="I60" i="1"/>
  <c r="W59" i="1" a="1"/>
  <c r="W59" i="1"/>
  <c r="X59" i="1"/>
  <c r="Y59" i="1"/>
  <c r="Z59" i="1"/>
  <c r="AA59" i="1"/>
  <c r="AB59" i="1"/>
  <c r="AC59" i="1"/>
  <c r="M59" i="1" a="1"/>
  <c r="M59" i="1"/>
  <c r="N59" i="1"/>
  <c r="O59" i="1"/>
  <c r="P59" i="1"/>
  <c r="Q59" i="1"/>
  <c r="R59" i="1"/>
  <c r="S59" i="1"/>
  <c r="C59" i="1" a="1"/>
  <c r="C59" i="1"/>
  <c r="D59" i="1"/>
  <c r="E59" i="1"/>
  <c r="F59" i="1"/>
  <c r="G59" i="1"/>
  <c r="H59" i="1"/>
  <c r="I59" i="1"/>
  <c r="W58" i="1" a="1"/>
  <c r="W58" i="1"/>
  <c r="X58" i="1"/>
  <c r="Y58" i="1"/>
  <c r="Z58" i="1"/>
  <c r="AA58" i="1"/>
  <c r="AB58" i="1"/>
  <c r="AC58" i="1"/>
  <c r="M58" i="1" a="1"/>
  <c r="M58" i="1"/>
  <c r="N58" i="1"/>
  <c r="O58" i="1"/>
  <c r="P58" i="1"/>
  <c r="Q58" i="1"/>
  <c r="R58" i="1"/>
  <c r="S58" i="1"/>
  <c r="C58" i="1" a="1"/>
  <c r="C58" i="1"/>
  <c r="D58" i="1"/>
  <c r="E58" i="1"/>
  <c r="F58" i="1"/>
  <c r="G58" i="1"/>
  <c r="H58" i="1"/>
  <c r="I58" i="1"/>
  <c r="W57" i="1" a="1"/>
  <c r="W57" i="1"/>
  <c r="X57" i="1"/>
  <c r="Y57" i="1"/>
  <c r="Z57" i="1"/>
  <c r="AA57" i="1"/>
  <c r="AB57" i="1"/>
  <c r="AC57" i="1"/>
  <c r="M57" i="1" a="1"/>
  <c r="M57" i="1"/>
  <c r="N57" i="1"/>
  <c r="O57" i="1"/>
  <c r="P57" i="1"/>
  <c r="Q57" i="1"/>
  <c r="R57" i="1"/>
  <c r="S57" i="1"/>
  <c r="C57" i="1" a="1"/>
  <c r="C57" i="1"/>
  <c r="D57" i="1"/>
  <c r="E57" i="1"/>
  <c r="F57" i="1"/>
  <c r="G57" i="1"/>
  <c r="H57" i="1"/>
  <c r="I57" i="1"/>
  <c r="W56" i="1" a="1"/>
  <c r="W56" i="1"/>
  <c r="X56" i="1"/>
  <c r="Y56" i="1"/>
  <c r="Z56" i="1"/>
  <c r="AA56" i="1"/>
  <c r="AB56" i="1"/>
  <c r="AC56" i="1"/>
  <c r="M56" i="1" a="1"/>
  <c r="M56" i="1"/>
  <c r="N56" i="1"/>
  <c r="O56" i="1"/>
  <c r="P56" i="1"/>
  <c r="Q56" i="1"/>
  <c r="R56" i="1"/>
  <c r="S56" i="1"/>
  <c r="C56" i="1" a="1"/>
  <c r="C56" i="1"/>
  <c r="D56" i="1"/>
  <c r="E56" i="1"/>
  <c r="F56" i="1"/>
  <c r="G56" i="1"/>
  <c r="H56" i="1"/>
  <c r="I56" i="1"/>
  <c r="W55" i="1" a="1"/>
  <c r="W55" i="1"/>
  <c r="X55" i="1"/>
  <c r="Y55" i="1"/>
  <c r="Z55" i="1"/>
  <c r="AA55" i="1"/>
  <c r="AB55" i="1"/>
  <c r="AC55" i="1"/>
  <c r="M55" i="1" a="1"/>
  <c r="M55" i="1"/>
  <c r="N55" i="1"/>
  <c r="O55" i="1"/>
  <c r="P55" i="1"/>
  <c r="Q55" i="1"/>
  <c r="R55" i="1"/>
  <c r="S55" i="1"/>
  <c r="C55" i="1" a="1"/>
  <c r="C55" i="1"/>
  <c r="D55" i="1"/>
  <c r="E55" i="1"/>
  <c r="F55" i="1"/>
  <c r="G55" i="1"/>
  <c r="H55" i="1"/>
  <c r="I55" i="1"/>
  <c r="W54" i="1" a="1"/>
  <c r="W54" i="1"/>
  <c r="X54" i="1"/>
  <c r="Y54" i="1"/>
  <c r="Z54" i="1"/>
  <c r="AA54" i="1"/>
  <c r="AB54" i="1"/>
  <c r="AC54" i="1"/>
  <c r="M54" i="1" a="1"/>
  <c r="M54" i="1"/>
  <c r="N54" i="1"/>
  <c r="O54" i="1"/>
  <c r="P54" i="1"/>
  <c r="Q54" i="1"/>
  <c r="R54" i="1"/>
  <c r="S54" i="1"/>
  <c r="C54" i="1" a="1"/>
  <c r="C54" i="1"/>
  <c r="D54" i="1"/>
  <c r="E54" i="1"/>
  <c r="F54" i="1"/>
  <c r="G54" i="1"/>
  <c r="H54" i="1"/>
  <c r="I54" i="1"/>
  <c r="W53" i="1" a="1"/>
  <c r="W53" i="1"/>
  <c r="X53" i="1"/>
  <c r="Y53" i="1"/>
  <c r="Z53" i="1"/>
  <c r="AA53" i="1"/>
  <c r="AB53" i="1"/>
  <c r="AC53" i="1"/>
  <c r="M53" i="1" a="1"/>
  <c r="M53" i="1"/>
  <c r="N53" i="1"/>
  <c r="O53" i="1"/>
  <c r="P53" i="1"/>
  <c r="Q53" i="1"/>
  <c r="R53" i="1"/>
  <c r="S53" i="1"/>
  <c r="C53" i="1" a="1"/>
  <c r="C53" i="1"/>
  <c r="D53" i="1"/>
  <c r="E53" i="1"/>
  <c r="F53" i="1"/>
  <c r="G53" i="1"/>
  <c r="H53" i="1"/>
  <c r="I53" i="1"/>
  <c r="W52" i="1" a="1"/>
  <c r="W52" i="1"/>
  <c r="X52" i="1"/>
  <c r="Y52" i="1"/>
  <c r="Z52" i="1"/>
  <c r="AA52" i="1"/>
  <c r="AB52" i="1"/>
  <c r="AC52" i="1"/>
  <c r="M52" i="1" a="1"/>
  <c r="M52" i="1"/>
  <c r="N52" i="1"/>
  <c r="O52" i="1"/>
  <c r="P52" i="1"/>
  <c r="Q52" i="1"/>
  <c r="R52" i="1"/>
  <c r="S52" i="1"/>
  <c r="C52" i="1" a="1"/>
  <c r="C52" i="1"/>
  <c r="D52" i="1"/>
  <c r="E52" i="1"/>
  <c r="F52" i="1"/>
  <c r="G52" i="1"/>
  <c r="H52" i="1"/>
  <c r="I52" i="1"/>
  <c r="W51" i="1" a="1"/>
  <c r="W51" i="1"/>
  <c r="X51" i="1"/>
  <c r="Y51" i="1"/>
  <c r="Z51" i="1"/>
  <c r="AA51" i="1"/>
  <c r="AB51" i="1"/>
  <c r="AC51" i="1"/>
  <c r="M51" i="1" a="1"/>
  <c r="M51" i="1"/>
  <c r="N51" i="1"/>
  <c r="O51" i="1"/>
  <c r="P51" i="1"/>
  <c r="Q51" i="1"/>
  <c r="R51" i="1"/>
  <c r="S51" i="1"/>
  <c r="C51" i="1" a="1"/>
  <c r="C51" i="1"/>
  <c r="D51" i="1"/>
  <c r="E51" i="1"/>
  <c r="F51" i="1"/>
  <c r="G51" i="1"/>
  <c r="H51" i="1"/>
  <c r="I51" i="1"/>
  <c r="W50" i="1" a="1"/>
  <c r="W50" i="1"/>
  <c r="X50" i="1"/>
  <c r="Y50" i="1"/>
  <c r="Z50" i="1"/>
  <c r="AA50" i="1"/>
  <c r="AB50" i="1"/>
  <c r="AC50" i="1"/>
  <c r="M50" i="1" a="1"/>
  <c r="M50" i="1"/>
  <c r="N50" i="1"/>
  <c r="O50" i="1"/>
  <c r="P50" i="1"/>
  <c r="Q50" i="1"/>
  <c r="R50" i="1"/>
  <c r="S50" i="1"/>
  <c r="C50" i="1" a="1"/>
  <c r="C50" i="1"/>
  <c r="D50" i="1"/>
  <c r="E50" i="1"/>
  <c r="F50" i="1"/>
  <c r="G50" i="1"/>
  <c r="H50" i="1"/>
  <c r="I50" i="1"/>
  <c r="W49" i="1" a="1"/>
  <c r="W49" i="1"/>
  <c r="X49" i="1"/>
  <c r="Y49" i="1"/>
  <c r="Z49" i="1"/>
  <c r="AA49" i="1"/>
  <c r="AB49" i="1"/>
  <c r="AC49" i="1"/>
  <c r="M49" i="1" a="1"/>
  <c r="M49" i="1"/>
  <c r="N49" i="1"/>
  <c r="O49" i="1"/>
  <c r="P49" i="1"/>
  <c r="Q49" i="1"/>
  <c r="R49" i="1"/>
  <c r="S49" i="1"/>
  <c r="C49" i="1" a="1"/>
  <c r="C49" i="1"/>
  <c r="D49" i="1"/>
  <c r="E49" i="1"/>
  <c r="F49" i="1"/>
  <c r="G49" i="1"/>
  <c r="H49" i="1"/>
  <c r="I49" i="1"/>
  <c r="W48" i="1" a="1"/>
  <c r="W48" i="1"/>
  <c r="X48" i="1"/>
  <c r="Y48" i="1"/>
  <c r="Z48" i="1"/>
  <c r="AA48" i="1"/>
  <c r="AB48" i="1"/>
  <c r="AC48" i="1"/>
  <c r="M48" i="1" a="1"/>
  <c r="M48" i="1"/>
  <c r="N48" i="1"/>
  <c r="O48" i="1"/>
  <c r="P48" i="1"/>
  <c r="Q48" i="1"/>
  <c r="R48" i="1"/>
  <c r="S48" i="1"/>
  <c r="C48" i="1" a="1"/>
  <c r="C48" i="1"/>
  <c r="D48" i="1"/>
  <c r="E48" i="1"/>
  <c r="F48" i="1"/>
  <c r="G48" i="1"/>
  <c r="H48" i="1"/>
  <c r="I48" i="1"/>
  <c r="W47" i="1" a="1"/>
  <c r="W47" i="1"/>
  <c r="X47" i="1"/>
  <c r="Y47" i="1"/>
  <c r="Z47" i="1"/>
  <c r="AA47" i="1"/>
  <c r="AB47" i="1"/>
  <c r="AC47" i="1"/>
  <c r="M47" i="1" a="1"/>
  <c r="M47" i="1"/>
  <c r="N47" i="1"/>
  <c r="O47" i="1"/>
  <c r="P47" i="1"/>
  <c r="Q47" i="1"/>
  <c r="R47" i="1"/>
  <c r="S47" i="1"/>
  <c r="C47" i="1" a="1"/>
  <c r="C47" i="1"/>
  <c r="D47" i="1"/>
  <c r="E47" i="1"/>
  <c r="F47" i="1"/>
  <c r="G47" i="1"/>
  <c r="H47" i="1"/>
  <c r="I47" i="1"/>
  <c r="W46" i="1" a="1"/>
  <c r="W46" i="1"/>
  <c r="X46" i="1"/>
  <c r="Y46" i="1"/>
  <c r="Z46" i="1"/>
  <c r="AA46" i="1"/>
  <c r="AB46" i="1"/>
  <c r="AC46" i="1"/>
  <c r="M46" i="1" a="1"/>
  <c r="M46" i="1"/>
  <c r="N46" i="1"/>
  <c r="O46" i="1"/>
  <c r="P46" i="1"/>
  <c r="Q46" i="1"/>
  <c r="R46" i="1"/>
  <c r="S46" i="1"/>
  <c r="C46" i="1" a="1"/>
  <c r="C46" i="1"/>
  <c r="D46" i="1"/>
  <c r="E46" i="1"/>
  <c r="F46" i="1"/>
  <c r="G46" i="1"/>
  <c r="H46" i="1"/>
  <c r="I46" i="1"/>
  <c r="W45" i="1" a="1"/>
  <c r="W45" i="1"/>
  <c r="X45" i="1"/>
  <c r="Y45" i="1"/>
  <c r="Z45" i="1"/>
  <c r="AA45" i="1"/>
  <c r="AB45" i="1"/>
  <c r="AC45" i="1"/>
  <c r="M45" i="1" a="1"/>
  <c r="M45" i="1"/>
  <c r="N45" i="1"/>
  <c r="O45" i="1"/>
  <c r="P45" i="1"/>
  <c r="Q45" i="1"/>
  <c r="R45" i="1"/>
  <c r="S45" i="1"/>
  <c r="C45" i="1" a="1"/>
  <c r="C45" i="1"/>
  <c r="D45" i="1"/>
  <c r="E45" i="1"/>
  <c r="F45" i="1"/>
  <c r="G45" i="1"/>
  <c r="H45" i="1"/>
  <c r="I45" i="1"/>
  <c r="W44" i="1" a="1"/>
  <c r="W44" i="1"/>
  <c r="X44" i="1"/>
  <c r="Y44" i="1"/>
  <c r="Z44" i="1"/>
  <c r="AA44" i="1"/>
  <c r="AB44" i="1"/>
  <c r="AC44" i="1"/>
  <c r="M44" i="1" a="1"/>
  <c r="M44" i="1"/>
  <c r="N44" i="1"/>
  <c r="O44" i="1"/>
  <c r="P44" i="1"/>
  <c r="Q44" i="1"/>
  <c r="R44" i="1"/>
  <c r="S44" i="1"/>
  <c r="C44" i="1" a="1"/>
  <c r="C44" i="1"/>
  <c r="D44" i="1"/>
  <c r="E44" i="1"/>
  <c r="F44" i="1"/>
  <c r="G44" i="1"/>
  <c r="H44" i="1"/>
  <c r="I44" i="1"/>
  <c r="W43" i="1" a="1"/>
  <c r="W43" i="1"/>
  <c r="X43" i="1"/>
  <c r="Y43" i="1"/>
  <c r="Z43" i="1"/>
  <c r="AA43" i="1"/>
  <c r="AB43" i="1"/>
  <c r="AC43" i="1"/>
  <c r="M43" i="1" a="1"/>
  <c r="M43" i="1"/>
  <c r="N43" i="1"/>
  <c r="O43" i="1"/>
  <c r="P43" i="1"/>
  <c r="Q43" i="1"/>
  <c r="R43" i="1"/>
  <c r="S43" i="1"/>
  <c r="C43" i="1" a="1"/>
  <c r="C43" i="1"/>
  <c r="D43" i="1"/>
  <c r="E43" i="1"/>
  <c r="F43" i="1"/>
  <c r="G43" i="1"/>
  <c r="H43" i="1"/>
  <c r="I43" i="1"/>
  <c r="W42" i="1" a="1"/>
  <c r="W42" i="1"/>
  <c r="X42" i="1"/>
  <c r="Y42" i="1"/>
  <c r="Z42" i="1"/>
  <c r="AA42" i="1"/>
  <c r="AB42" i="1"/>
  <c r="AC42" i="1"/>
  <c r="M42" i="1" a="1"/>
  <c r="M42" i="1"/>
  <c r="N42" i="1"/>
  <c r="O42" i="1"/>
  <c r="P42" i="1"/>
  <c r="Q42" i="1"/>
  <c r="R42" i="1"/>
  <c r="S42" i="1"/>
  <c r="C42" i="1" a="1"/>
  <c r="C42" i="1"/>
  <c r="D42" i="1"/>
  <c r="E42" i="1"/>
  <c r="F42" i="1"/>
  <c r="G42" i="1"/>
  <c r="H42" i="1"/>
  <c r="I42" i="1"/>
  <c r="W41" i="1" a="1"/>
  <c r="W41" i="1"/>
  <c r="X41" i="1"/>
  <c r="Y41" i="1"/>
  <c r="Z41" i="1"/>
  <c r="AA41" i="1"/>
  <c r="AB41" i="1"/>
  <c r="AC41" i="1"/>
  <c r="M41" i="1" a="1"/>
  <c r="M41" i="1"/>
  <c r="N41" i="1"/>
  <c r="O41" i="1"/>
  <c r="P41" i="1"/>
  <c r="Q41" i="1"/>
  <c r="R41" i="1"/>
  <c r="S41" i="1"/>
  <c r="C41" i="1" a="1"/>
  <c r="C41" i="1"/>
  <c r="D41" i="1"/>
  <c r="E41" i="1"/>
  <c r="F41" i="1"/>
  <c r="G41" i="1"/>
  <c r="H41" i="1"/>
  <c r="I41" i="1"/>
  <c r="W40" i="1" a="1"/>
  <c r="W40" i="1"/>
  <c r="X40" i="1"/>
  <c r="Y40" i="1"/>
  <c r="Z40" i="1"/>
  <c r="AA40" i="1"/>
  <c r="AB40" i="1"/>
  <c r="AC40" i="1"/>
  <c r="M40" i="1" a="1"/>
  <c r="M40" i="1"/>
  <c r="N40" i="1"/>
  <c r="O40" i="1"/>
  <c r="P40" i="1"/>
  <c r="Q40" i="1"/>
  <c r="R40" i="1"/>
  <c r="S40" i="1"/>
  <c r="C40" i="1" a="1"/>
  <c r="C40" i="1"/>
  <c r="D40" i="1"/>
  <c r="E40" i="1"/>
  <c r="F40" i="1"/>
  <c r="G40" i="1"/>
  <c r="H40" i="1"/>
  <c r="I40" i="1"/>
  <c r="W39" i="1" a="1"/>
  <c r="W39" i="1"/>
  <c r="X39" i="1"/>
  <c r="Y39" i="1"/>
  <c r="Z39" i="1"/>
  <c r="AA39" i="1"/>
  <c r="AB39" i="1"/>
  <c r="AC39" i="1"/>
  <c r="M39" i="1" a="1"/>
  <c r="M39" i="1"/>
  <c r="N39" i="1"/>
  <c r="O39" i="1"/>
  <c r="P39" i="1"/>
  <c r="Q39" i="1"/>
  <c r="R39" i="1"/>
  <c r="S39" i="1"/>
  <c r="C39" i="1" a="1"/>
  <c r="C39" i="1"/>
  <c r="D39" i="1"/>
  <c r="E39" i="1"/>
  <c r="F39" i="1"/>
  <c r="G39" i="1"/>
  <c r="H39" i="1"/>
  <c r="I39" i="1"/>
  <c r="W38" i="1" a="1"/>
  <c r="W38" i="1"/>
  <c r="X38" i="1"/>
  <c r="Y38" i="1"/>
  <c r="Z38" i="1"/>
  <c r="AA38" i="1"/>
  <c r="AB38" i="1"/>
  <c r="AC38" i="1"/>
  <c r="M38" i="1" a="1"/>
  <c r="M38" i="1"/>
  <c r="N38" i="1"/>
  <c r="O38" i="1"/>
  <c r="P38" i="1"/>
  <c r="Q38" i="1"/>
  <c r="R38" i="1"/>
  <c r="S38" i="1"/>
  <c r="C38" i="1" a="1"/>
  <c r="C38" i="1"/>
  <c r="D38" i="1"/>
  <c r="E38" i="1"/>
  <c r="F38" i="1"/>
  <c r="G38" i="1"/>
  <c r="H38" i="1"/>
  <c r="I38" i="1"/>
  <c r="W37" i="1" a="1"/>
  <c r="W37" i="1"/>
  <c r="X37" i="1"/>
  <c r="Y37" i="1"/>
  <c r="Z37" i="1"/>
  <c r="AA37" i="1"/>
  <c r="AB37" i="1"/>
  <c r="AC37" i="1"/>
  <c r="M37" i="1" a="1"/>
  <c r="M37" i="1"/>
  <c r="N37" i="1"/>
  <c r="O37" i="1"/>
  <c r="P37" i="1"/>
  <c r="Q37" i="1"/>
  <c r="R37" i="1"/>
  <c r="S37" i="1"/>
  <c r="C37" i="1" a="1"/>
  <c r="C37" i="1"/>
  <c r="D37" i="1"/>
  <c r="E37" i="1"/>
  <c r="F37" i="1"/>
  <c r="G37" i="1"/>
  <c r="H37" i="1"/>
  <c r="I37" i="1"/>
  <c r="W36" i="1" a="1"/>
  <c r="W36" i="1"/>
  <c r="X36" i="1"/>
  <c r="Y36" i="1"/>
  <c r="Z36" i="1"/>
  <c r="AA36" i="1"/>
  <c r="AB36" i="1"/>
  <c r="AC36" i="1"/>
  <c r="M36" i="1" a="1"/>
  <c r="M36" i="1"/>
  <c r="N36" i="1"/>
  <c r="O36" i="1"/>
  <c r="P36" i="1"/>
  <c r="Q36" i="1"/>
  <c r="R36" i="1"/>
  <c r="S36" i="1"/>
  <c r="C36" i="1" a="1"/>
  <c r="C36" i="1"/>
  <c r="D36" i="1"/>
  <c r="E36" i="1"/>
  <c r="F36" i="1"/>
  <c r="G36" i="1"/>
  <c r="H36" i="1"/>
  <c r="I36" i="1"/>
  <c r="W35" i="1" a="1"/>
  <c r="W35" i="1"/>
  <c r="X35" i="1"/>
  <c r="Y35" i="1"/>
  <c r="Z35" i="1"/>
  <c r="AA35" i="1"/>
  <c r="AB35" i="1"/>
  <c r="AC35" i="1"/>
  <c r="M35" i="1" a="1"/>
  <c r="M35" i="1"/>
  <c r="N35" i="1"/>
  <c r="O35" i="1"/>
  <c r="P35" i="1"/>
  <c r="Q35" i="1"/>
  <c r="R35" i="1"/>
  <c r="S35" i="1"/>
  <c r="C35" i="1" a="1"/>
  <c r="C35" i="1"/>
  <c r="D35" i="1"/>
  <c r="E35" i="1"/>
  <c r="F35" i="1"/>
  <c r="G35" i="1"/>
  <c r="H35" i="1"/>
  <c r="I35" i="1"/>
  <c r="W34" i="1" a="1"/>
  <c r="W34" i="1"/>
  <c r="X34" i="1"/>
  <c r="Y34" i="1"/>
  <c r="Z34" i="1"/>
  <c r="AA34" i="1"/>
  <c r="AB34" i="1"/>
  <c r="AC34" i="1"/>
  <c r="M34" i="1" a="1"/>
  <c r="M34" i="1"/>
  <c r="N34" i="1"/>
  <c r="O34" i="1"/>
  <c r="P34" i="1"/>
  <c r="Q34" i="1"/>
  <c r="R34" i="1"/>
  <c r="S34" i="1"/>
  <c r="C34" i="1" a="1"/>
  <c r="C34" i="1"/>
  <c r="D34" i="1"/>
  <c r="E34" i="1"/>
  <c r="F34" i="1"/>
  <c r="G34" i="1"/>
  <c r="H34" i="1"/>
  <c r="I34" i="1"/>
  <c r="W31" i="1" a="1"/>
  <c r="W31" i="1"/>
  <c r="X31" i="1"/>
  <c r="Y31" i="1"/>
  <c r="Z31" i="1"/>
  <c r="AA31" i="1"/>
  <c r="AB31" i="1"/>
  <c r="AC31" i="1"/>
  <c r="M31" i="1" a="1"/>
  <c r="M31" i="1"/>
  <c r="N31" i="1"/>
  <c r="O31" i="1"/>
  <c r="P31" i="1"/>
  <c r="Q31" i="1"/>
  <c r="R31" i="1"/>
  <c r="S31" i="1"/>
  <c r="C31" i="1" a="1"/>
  <c r="C31" i="1"/>
  <c r="D31" i="1"/>
  <c r="E31" i="1"/>
  <c r="F31" i="1"/>
  <c r="G31" i="1"/>
  <c r="H31" i="1"/>
  <c r="I31" i="1"/>
  <c r="W30" i="1" a="1"/>
  <c r="W30" i="1"/>
  <c r="X30" i="1"/>
  <c r="Y30" i="1"/>
  <c r="Z30" i="1"/>
  <c r="AA30" i="1"/>
  <c r="AB30" i="1"/>
  <c r="AC30" i="1"/>
  <c r="M30" i="1" a="1"/>
  <c r="M30" i="1"/>
  <c r="N30" i="1"/>
  <c r="O30" i="1"/>
  <c r="P30" i="1"/>
  <c r="Q30" i="1"/>
  <c r="R30" i="1"/>
  <c r="S30" i="1"/>
  <c r="C30" i="1" a="1"/>
  <c r="C30" i="1"/>
  <c r="D30" i="1"/>
  <c r="E30" i="1"/>
  <c r="F30" i="1"/>
  <c r="G30" i="1"/>
  <c r="H30" i="1"/>
  <c r="I30" i="1"/>
  <c r="W29" i="1" a="1"/>
  <c r="W29" i="1"/>
  <c r="X29" i="1"/>
  <c r="Y29" i="1"/>
  <c r="Z29" i="1"/>
  <c r="AA29" i="1"/>
  <c r="AB29" i="1"/>
  <c r="AC29" i="1"/>
  <c r="M29" i="1" a="1"/>
  <c r="M29" i="1"/>
  <c r="N29" i="1"/>
  <c r="O29" i="1"/>
  <c r="P29" i="1"/>
  <c r="Q29" i="1"/>
  <c r="R29" i="1"/>
  <c r="S29" i="1"/>
  <c r="C29" i="1" a="1"/>
  <c r="C29" i="1"/>
  <c r="D29" i="1"/>
  <c r="E29" i="1"/>
  <c r="F29" i="1"/>
  <c r="G29" i="1"/>
  <c r="H29" i="1"/>
  <c r="I29" i="1"/>
  <c r="W28" i="1" a="1"/>
  <c r="W28" i="1"/>
  <c r="X28" i="1"/>
  <c r="Y28" i="1"/>
  <c r="Z28" i="1"/>
  <c r="AA28" i="1"/>
  <c r="AB28" i="1"/>
  <c r="AC28" i="1"/>
  <c r="M28" i="1" a="1"/>
  <c r="M28" i="1"/>
  <c r="N28" i="1"/>
  <c r="O28" i="1"/>
  <c r="P28" i="1"/>
  <c r="Q28" i="1"/>
  <c r="R28" i="1"/>
  <c r="S28" i="1"/>
  <c r="C28" i="1" a="1"/>
  <c r="C28" i="1"/>
  <c r="D28" i="1"/>
  <c r="E28" i="1"/>
  <c r="F28" i="1"/>
  <c r="G28" i="1"/>
  <c r="H28" i="1"/>
  <c r="I28" i="1"/>
  <c r="W27" i="1" a="1"/>
  <c r="W27" i="1"/>
  <c r="X27" i="1"/>
  <c r="Y27" i="1"/>
  <c r="Z27" i="1"/>
  <c r="AA27" i="1"/>
  <c r="AB27" i="1"/>
  <c r="AC27" i="1"/>
  <c r="M27" i="1" a="1"/>
  <c r="M27" i="1"/>
  <c r="N27" i="1"/>
  <c r="O27" i="1"/>
  <c r="P27" i="1"/>
  <c r="Q27" i="1"/>
  <c r="R27" i="1"/>
  <c r="S27" i="1"/>
  <c r="C27" i="1" a="1"/>
  <c r="C27" i="1"/>
  <c r="D27" i="1"/>
  <c r="E27" i="1"/>
  <c r="F27" i="1"/>
  <c r="G27" i="1"/>
  <c r="H27" i="1"/>
  <c r="I27" i="1"/>
  <c r="W26" i="1" a="1"/>
  <c r="W26" i="1"/>
  <c r="X26" i="1"/>
  <c r="Y26" i="1"/>
  <c r="Z26" i="1"/>
  <c r="AA26" i="1"/>
  <c r="AB26" i="1"/>
  <c r="AC26" i="1"/>
  <c r="M26" i="1" a="1"/>
  <c r="M26" i="1"/>
  <c r="N26" i="1"/>
  <c r="O26" i="1"/>
  <c r="P26" i="1"/>
  <c r="Q26" i="1"/>
  <c r="R26" i="1"/>
  <c r="S26" i="1"/>
  <c r="C26" i="1" a="1"/>
  <c r="C26" i="1"/>
  <c r="D26" i="1"/>
  <c r="E26" i="1"/>
  <c r="F26" i="1"/>
  <c r="G26" i="1"/>
  <c r="H26" i="1"/>
  <c r="I26" i="1"/>
  <c r="W25" i="1" a="1"/>
  <c r="W25" i="1"/>
  <c r="X25" i="1"/>
  <c r="Y25" i="1"/>
  <c r="Z25" i="1"/>
  <c r="AA25" i="1"/>
  <c r="AB25" i="1"/>
  <c r="AC25" i="1"/>
  <c r="M25" i="1" a="1"/>
  <c r="M25" i="1"/>
  <c r="N25" i="1"/>
  <c r="O25" i="1"/>
  <c r="P25" i="1"/>
  <c r="Q25" i="1"/>
  <c r="R25" i="1"/>
  <c r="S25" i="1"/>
  <c r="C25" i="1" a="1"/>
  <c r="C25" i="1"/>
  <c r="D25" i="1"/>
  <c r="E25" i="1"/>
  <c r="F25" i="1"/>
  <c r="G25" i="1"/>
  <c r="H25" i="1"/>
  <c r="I25" i="1"/>
  <c r="W24" i="1" a="1"/>
  <c r="W24" i="1"/>
  <c r="X24" i="1"/>
  <c r="Y24" i="1"/>
  <c r="Z24" i="1"/>
  <c r="AA24" i="1"/>
  <c r="AB24" i="1"/>
  <c r="AC24" i="1"/>
  <c r="M24" i="1" a="1"/>
  <c r="M24" i="1"/>
  <c r="N24" i="1"/>
  <c r="O24" i="1"/>
  <c r="P24" i="1"/>
  <c r="Q24" i="1"/>
  <c r="R24" i="1"/>
  <c r="S24" i="1"/>
  <c r="C24" i="1" a="1"/>
  <c r="C24" i="1"/>
  <c r="D24" i="1"/>
  <c r="E24" i="1"/>
  <c r="F24" i="1"/>
  <c r="G24" i="1"/>
  <c r="H24" i="1"/>
  <c r="I24" i="1"/>
  <c r="W23" i="1" a="1"/>
  <c r="W23" i="1"/>
  <c r="X23" i="1"/>
  <c r="Y23" i="1"/>
  <c r="Z23" i="1"/>
  <c r="AA23" i="1"/>
  <c r="AB23" i="1"/>
  <c r="AC23" i="1"/>
  <c r="M23" i="1" a="1"/>
  <c r="M23" i="1"/>
  <c r="N23" i="1"/>
  <c r="O23" i="1"/>
  <c r="P23" i="1"/>
  <c r="Q23" i="1"/>
  <c r="R23" i="1"/>
  <c r="S23" i="1"/>
  <c r="C23" i="1" a="1"/>
  <c r="C23" i="1"/>
  <c r="D23" i="1"/>
  <c r="E23" i="1"/>
  <c r="F23" i="1"/>
  <c r="G23" i="1"/>
  <c r="H23" i="1"/>
  <c r="I23" i="1"/>
  <c r="W22" i="1" a="1"/>
  <c r="W22" i="1"/>
  <c r="X22" i="1"/>
  <c r="Y22" i="1"/>
  <c r="Z22" i="1"/>
  <c r="AA22" i="1"/>
  <c r="AB22" i="1"/>
  <c r="AC22" i="1"/>
  <c r="M22" i="1" a="1"/>
  <c r="M22" i="1"/>
  <c r="N22" i="1"/>
  <c r="O22" i="1"/>
  <c r="P22" i="1"/>
  <c r="Q22" i="1"/>
  <c r="R22" i="1"/>
  <c r="S22" i="1"/>
  <c r="C22" i="1" a="1"/>
  <c r="C22" i="1"/>
  <c r="D22" i="1"/>
  <c r="E22" i="1"/>
  <c r="F22" i="1"/>
  <c r="G22" i="1"/>
  <c r="H22" i="1"/>
  <c r="I22" i="1"/>
  <c r="W21" i="1" a="1"/>
  <c r="W21" i="1"/>
  <c r="X21" i="1"/>
  <c r="Y21" i="1"/>
  <c r="Z21" i="1"/>
  <c r="AA21" i="1"/>
  <c r="AB21" i="1"/>
  <c r="AC21" i="1"/>
  <c r="M21" i="1" a="1"/>
  <c r="M21" i="1"/>
  <c r="N21" i="1"/>
  <c r="O21" i="1"/>
  <c r="P21" i="1"/>
  <c r="Q21" i="1"/>
  <c r="R21" i="1"/>
  <c r="S21" i="1"/>
  <c r="C21" i="1" a="1"/>
  <c r="C21" i="1"/>
  <c r="D21" i="1"/>
  <c r="E21" i="1"/>
  <c r="F21" i="1"/>
  <c r="G21" i="1"/>
  <c r="H21" i="1"/>
  <c r="I21" i="1"/>
  <c r="W20" i="1" a="1"/>
  <c r="W20" i="1"/>
  <c r="X20" i="1"/>
  <c r="Y20" i="1"/>
  <c r="Z20" i="1"/>
  <c r="AA20" i="1"/>
  <c r="AB20" i="1"/>
  <c r="AC20" i="1"/>
  <c r="M20" i="1" a="1"/>
  <c r="M20" i="1"/>
  <c r="N20" i="1"/>
  <c r="O20" i="1"/>
  <c r="P20" i="1"/>
  <c r="Q20" i="1"/>
  <c r="R20" i="1"/>
  <c r="S20" i="1"/>
  <c r="C20" i="1" a="1"/>
  <c r="C20" i="1"/>
  <c r="D20" i="1"/>
  <c r="E20" i="1"/>
  <c r="F20" i="1"/>
  <c r="G20" i="1"/>
  <c r="H20" i="1"/>
  <c r="I20" i="1"/>
  <c r="W19" i="1" a="1"/>
  <c r="W19" i="1"/>
  <c r="X19" i="1"/>
  <c r="Y19" i="1"/>
  <c r="Z19" i="1"/>
  <c r="AA19" i="1"/>
  <c r="AB19" i="1"/>
  <c r="AC19" i="1"/>
  <c r="M19" i="1" a="1"/>
  <c r="M19" i="1"/>
  <c r="N19" i="1"/>
  <c r="O19" i="1"/>
  <c r="P19" i="1"/>
  <c r="Q19" i="1"/>
  <c r="R19" i="1"/>
  <c r="S19" i="1"/>
  <c r="C19" i="1" a="1"/>
  <c r="C19" i="1"/>
  <c r="D19" i="1"/>
  <c r="E19" i="1"/>
  <c r="F19" i="1"/>
  <c r="G19" i="1"/>
  <c r="H19" i="1"/>
  <c r="I19" i="1"/>
  <c r="W18" i="1" a="1"/>
  <c r="W18" i="1"/>
  <c r="X18" i="1"/>
  <c r="Y18" i="1"/>
  <c r="Z18" i="1"/>
  <c r="AA18" i="1"/>
  <c r="AB18" i="1"/>
  <c r="AC18" i="1"/>
  <c r="M18" i="1" a="1"/>
  <c r="M18" i="1"/>
  <c r="N18" i="1"/>
  <c r="O18" i="1"/>
  <c r="P18" i="1"/>
  <c r="Q18" i="1"/>
  <c r="R18" i="1"/>
  <c r="S18" i="1"/>
  <c r="C18" i="1" a="1"/>
  <c r="C18" i="1"/>
  <c r="D18" i="1"/>
  <c r="E18" i="1"/>
  <c r="F18" i="1"/>
  <c r="G18" i="1"/>
  <c r="H18" i="1"/>
  <c r="I18" i="1"/>
  <c r="W17" i="1" a="1"/>
  <c r="W17" i="1"/>
  <c r="X17" i="1"/>
  <c r="Y17" i="1"/>
  <c r="Z17" i="1"/>
  <c r="AA17" i="1"/>
  <c r="AB17" i="1"/>
  <c r="AC17" i="1"/>
  <c r="M17" i="1" a="1"/>
  <c r="M17" i="1"/>
  <c r="N17" i="1"/>
  <c r="O17" i="1"/>
  <c r="P17" i="1"/>
  <c r="Q17" i="1"/>
  <c r="R17" i="1"/>
  <c r="S17" i="1"/>
  <c r="C17" i="1" a="1"/>
  <c r="C17" i="1"/>
  <c r="D17" i="1"/>
  <c r="E17" i="1"/>
  <c r="F17" i="1"/>
  <c r="G17" i="1"/>
  <c r="H17" i="1"/>
  <c r="I17" i="1"/>
  <c r="W16" i="1" a="1"/>
  <c r="W16" i="1"/>
  <c r="X16" i="1"/>
  <c r="Y16" i="1"/>
  <c r="Z16" i="1"/>
  <c r="AA16" i="1"/>
  <c r="AB16" i="1"/>
  <c r="AC16" i="1"/>
  <c r="M16" i="1" a="1"/>
  <c r="M16" i="1"/>
  <c r="N16" i="1"/>
  <c r="O16" i="1"/>
  <c r="P16" i="1"/>
  <c r="Q16" i="1"/>
  <c r="R16" i="1"/>
  <c r="S16" i="1"/>
  <c r="C16" i="1" a="1"/>
  <c r="C16" i="1"/>
  <c r="D16" i="1"/>
  <c r="E16" i="1"/>
  <c r="F16" i="1"/>
  <c r="G16" i="1"/>
  <c r="H16" i="1"/>
  <c r="I16" i="1"/>
  <c r="W15" i="1" a="1"/>
  <c r="W15" i="1"/>
  <c r="X15" i="1"/>
  <c r="Y15" i="1"/>
  <c r="Z15" i="1"/>
  <c r="AA15" i="1"/>
  <c r="AB15" i="1"/>
  <c r="AC15" i="1"/>
  <c r="M15" i="1" a="1"/>
  <c r="M15" i="1"/>
  <c r="N15" i="1"/>
  <c r="O15" i="1"/>
  <c r="P15" i="1"/>
  <c r="Q15" i="1"/>
  <c r="R15" i="1"/>
  <c r="S15" i="1"/>
  <c r="C15" i="1" a="1"/>
  <c r="C15" i="1"/>
  <c r="D15" i="1"/>
  <c r="E15" i="1"/>
  <c r="F15" i="1"/>
  <c r="G15" i="1"/>
  <c r="H15" i="1"/>
  <c r="I15" i="1"/>
  <c r="W14" i="1" a="1"/>
  <c r="W14" i="1"/>
  <c r="X14" i="1"/>
  <c r="Y14" i="1"/>
  <c r="Z14" i="1"/>
  <c r="AA14" i="1"/>
  <c r="AB14" i="1"/>
  <c r="AC14" i="1"/>
  <c r="M14" i="1" a="1"/>
  <c r="M14" i="1"/>
  <c r="N14" i="1"/>
  <c r="O14" i="1"/>
  <c r="P14" i="1"/>
  <c r="Q14" i="1"/>
  <c r="R14" i="1"/>
  <c r="S14" i="1"/>
  <c r="C14" i="1" a="1"/>
  <c r="C14" i="1"/>
  <c r="D14" i="1"/>
  <c r="E14" i="1"/>
  <c r="F14" i="1"/>
  <c r="G14" i="1"/>
  <c r="H14" i="1"/>
  <c r="I14" i="1"/>
  <c r="W13" i="1" a="1"/>
  <c r="W13" i="1"/>
  <c r="X13" i="1"/>
  <c r="Y13" i="1"/>
  <c r="Z13" i="1"/>
  <c r="AA13" i="1"/>
  <c r="AB13" i="1"/>
  <c r="AC13" i="1"/>
  <c r="M13" i="1" a="1"/>
  <c r="M13" i="1"/>
  <c r="N13" i="1"/>
  <c r="O13" i="1"/>
  <c r="P13" i="1"/>
  <c r="Q13" i="1"/>
  <c r="R13" i="1"/>
  <c r="S13" i="1"/>
  <c r="C13" i="1" a="1"/>
  <c r="C13" i="1"/>
  <c r="D13" i="1"/>
  <c r="E13" i="1"/>
  <c r="F13" i="1"/>
  <c r="G13" i="1"/>
  <c r="H13" i="1"/>
  <c r="I13" i="1"/>
  <c r="W12" i="1" a="1"/>
  <c r="W12" i="1"/>
  <c r="X12" i="1"/>
  <c r="Y12" i="1"/>
  <c r="Z12" i="1"/>
  <c r="AA12" i="1"/>
  <c r="AB12" i="1"/>
  <c r="AC12" i="1"/>
  <c r="M12" i="1" a="1"/>
  <c r="M12" i="1"/>
  <c r="N12" i="1"/>
  <c r="O12" i="1"/>
  <c r="P12" i="1"/>
  <c r="Q12" i="1"/>
  <c r="R12" i="1"/>
  <c r="S12" i="1"/>
  <c r="C12" i="1" a="1"/>
  <c r="C12" i="1"/>
  <c r="D12" i="1"/>
  <c r="E12" i="1"/>
  <c r="F12" i="1"/>
  <c r="G12" i="1"/>
  <c r="H12" i="1"/>
  <c r="I12" i="1"/>
  <c r="W11" i="1" a="1"/>
  <c r="W11" i="1"/>
  <c r="X11" i="1"/>
  <c r="Y11" i="1"/>
  <c r="Z11" i="1"/>
  <c r="AA11" i="1"/>
  <c r="AB11" i="1"/>
  <c r="AC11" i="1"/>
  <c r="M11" i="1" a="1"/>
  <c r="M11" i="1"/>
  <c r="N11" i="1"/>
  <c r="O11" i="1"/>
  <c r="P11" i="1"/>
  <c r="Q11" i="1"/>
  <c r="R11" i="1"/>
  <c r="S11" i="1"/>
  <c r="C11" i="1" a="1"/>
  <c r="C11" i="1"/>
  <c r="D11" i="1"/>
  <c r="E11" i="1"/>
  <c r="F11" i="1"/>
  <c r="G11" i="1"/>
  <c r="H11" i="1"/>
  <c r="I11" i="1"/>
  <c r="W10" i="1" a="1"/>
  <c r="W10" i="1"/>
  <c r="X10" i="1"/>
  <c r="Y10" i="1"/>
  <c r="Z10" i="1"/>
  <c r="AA10" i="1"/>
  <c r="AB10" i="1"/>
  <c r="AC10" i="1"/>
  <c r="M10" i="1" a="1"/>
  <c r="M10" i="1"/>
  <c r="N10" i="1"/>
  <c r="O10" i="1"/>
  <c r="P10" i="1"/>
  <c r="Q10" i="1"/>
  <c r="R10" i="1"/>
  <c r="S10" i="1"/>
  <c r="C10" i="1" a="1"/>
  <c r="C10" i="1"/>
  <c r="D10" i="1"/>
  <c r="E10" i="1"/>
  <c r="F10" i="1"/>
  <c r="G10" i="1"/>
  <c r="H10" i="1"/>
  <c r="I10" i="1"/>
  <c r="W9" i="1" a="1"/>
  <c r="W9" i="1"/>
  <c r="X9" i="1"/>
  <c r="Y9" i="1"/>
  <c r="Z9" i="1"/>
  <c r="AA9" i="1"/>
  <c r="AB9" i="1"/>
  <c r="AC9" i="1"/>
  <c r="M9" i="1" a="1"/>
  <c r="M9" i="1"/>
  <c r="N9" i="1"/>
  <c r="O9" i="1"/>
  <c r="P9" i="1"/>
  <c r="Q9" i="1"/>
  <c r="R9" i="1"/>
  <c r="S9" i="1"/>
  <c r="C9" i="1" a="1"/>
  <c r="C9" i="1"/>
  <c r="D9" i="1"/>
  <c r="E9" i="1"/>
  <c r="F9" i="1"/>
  <c r="G9" i="1"/>
  <c r="H9" i="1"/>
  <c r="I9" i="1"/>
  <c r="W8" i="1" a="1"/>
  <c r="W8" i="1"/>
  <c r="X8" i="1"/>
  <c r="Y8" i="1"/>
  <c r="Z8" i="1"/>
  <c r="AA8" i="1"/>
  <c r="AB8" i="1"/>
  <c r="AC8" i="1"/>
  <c r="M8" i="1" a="1"/>
  <c r="M8" i="1"/>
  <c r="N8" i="1"/>
  <c r="O8" i="1"/>
  <c r="P8" i="1"/>
  <c r="Q8" i="1"/>
  <c r="R8" i="1"/>
  <c r="S8" i="1"/>
  <c r="C8" i="1" a="1"/>
  <c r="C8" i="1"/>
  <c r="D8" i="1"/>
  <c r="E8" i="1"/>
  <c r="F8" i="1"/>
  <c r="G8" i="1"/>
  <c r="H8" i="1"/>
  <c r="I8" i="1"/>
  <c r="W7" i="1" a="1"/>
  <c r="W7" i="1"/>
  <c r="X7" i="1"/>
  <c r="Y7" i="1"/>
  <c r="Z7" i="1"/>
  <c r="AA7" i="1"/>
  <c r="AB7" i="1"/>
  <c r="AC7" i="1"/>
  <c r="M7" i="1" a="1"/>
  <c r="M7" i="1"/>
  <c r="N7" i="1"/>
  <c r="O7" i="1"/>
  <c r="P7" i="1"/>
  <c r="Q7" i="1"/>
  <c r="R7" i="1"/>
  <c r="S7" i="1"/>
  <c r="C7" i="1" a="1"/>
  <c r="C7" i="1"/>
  <c r="D7" i="1"/>
  <c r="E7" i="1"/>
  <c r="F7" i="1"/>
  <c r="G7" i="1"/>
  <c r="H7" i="1"/>
  <c r="I7" i="1"/>
  <c r="W6" i="1" a="1"/>
  <c r="W6" i="1"/>
  <c r="X6" i="1"/>
  <c r="Y6" i="1"/>
  <c r="Z6" i="1"/>
  <c r="AA6" i="1"/>
  <c r="AB6" i="1"/>
  <c r="AC6" i="1"/>
  <c r="M6" i="1" a="1"/>
  <c r="M6" i="1"/>
  <c r="N6" i="1"/>
  <c r="O6" i="1"/>
  <c r="P6" i="1"/>
  <c r="Q6" i="1"/>
  <c r="R6" i="1"/>
  <c r="S6" i="1"/>
  <c r="C6" i="1" a="1"/>
  <c r="C6" i="1"/>
  <c r="D6" i="1"/>
  <c r="E6" i="1"/>
  <c r="F6" i="1"/>
  <c r="G6" i="1"/>
  <c r="H6" i="1"/>
  <c r="I6" i="1"/>
  <c r="W5" i="1" a="1"/>
  <c r="W5" i="1"/>
  <c r="X5" i="1"/>
  <c r="Y5" i="1"/>
  <c r="Z5" i="1"/>
  <c r="AA5" i="1"/>
  <c r="AB5" i="1"/>
  <c r="AC5" i="1"/>
  <c r="M5" i="1" a="1"/>
  <c r="M5" i="1"/>
  <c r="N5" i="1"/>
  <c r="O5" i="1"/>
  <c r="P5" i="1"/>
  <c r="Q5" i="1"/>
  <c r="R5" i="1"/>
  <c r="S5" i="1"/>
  <c r="C5" i="1" a="1"/>
  <c r="C5" i="1"/>
  <c r="D5" i="1"/>
  <c r="E5" i="1"/>
  <c r="F5" i="1"/>
  <c r="G5" i="1"/>
  <c r="H5" i="1"/>
  <c r="I5" i="1"/>
  <c r="W4" i="1" a="1"/>
  <c r="W4" i="1"/>
  <c r="X4" i="1"/>
  <c r="Y4" i="1"/>
  <c r="Z4" i="1"/>
  <c r="AA4" i="1"/>
  <c r="AB4" i="1"/>
  <c r="AC4" i="1"/>
  <c r="M4" i="1" a="1"/>
  <c r="M4" i="1"/>
  <c r="N4" i="1"/>
  <c r="O4" i="1"/>
  <c r="P4" i="1"/>
  <c r="Q4" i="1"/>
  <c r="R4" i="1"/>
  <c r="S4" i="1"/>
  <c r="C4" i="1" a="1"/>
  <c r="C4" i="1"/>
  <c r="D4" i="1"/>
  <c r="E4" i="1"/>
  <c r="F4" i="1"/>
  <c r="G4" i="1"/>
  <c r="H4" i="1"/>
  <c r="I4" i="1"/>
  <c r="W3" i="1" a="1"/>
  <c r="W3" i="1"/>
  <c r="X3" i="1"/>
  <c r="Y3" i="1"/>
  <c r="Z3" i="1"/>
  <c r="AA3" i="1"/>
  <c r="AB3" i="1"/>
  <c r="AC3" i="1"/>
  <c r="M3" i="1" a="1"/>
  <c r="M3" i="1"/>
  <c r="N3" i="1"/>
  <c r="O3" i="1"/>
  <c r="P3" i="1"/>
  <c r="Q3" i="1"/>
  <c r="R3" i="1"/>
  <c r="S3" i="1"/>
  <c r="C3" i="1" a="1"/>
  <c r="C3" i="1"/>
  <c r="D3" i="1"/>
  <c r="E3" i="1"/>
  <c r="F3" i="1"/>
  <c r="G3" i="1"/>
  <c r="H3" i="1"/>
  <c r="I3" i="1"/>
  <c r="W2" i="1" a="1"/>
  <c r="W2" i="1"/>
  <c r="X2" i="1"/>
  <c r="Y2" i="1"/>
  <c r="Z2" i="1"/>
  <c r="AA2" i="1"/>
  <c r="AB2" i="1"/>
  <c r="AC2" i="1"/>
  <c r="M2" i="1" a="1"/>
  <c r="M2" i="1"/>
  <c r="N2" i="1"/>
  <c r="O2" i="1"/>
  <c r="P2" i="1"/>
  <c r="Q2" i="1"/>
  <c r="R2" i="1"/>
  <c r="S2" i="1"/>
  <c r="C2" i="1" a="1"/>
  <c r="C2" i="1"/>
  <c r="D2" i="1"/>
  <c r="E2" i="1"/>
  <c r="F2" i="1"/>
  <c r="G2" i="1"/>
  <c r="H2" i="1"/>
  <c r="I2" i="1"/>
  <c r="B26" i="5"/>
  <c r="B21" i="5"/>
  <c r="B16" i="5"/>
  <c r="B5" i="5" a="1"/>
  <c r="B5" i="5"/>
  <c r="B6" i="5"/>
  <c r="B7" i="5"/>
  <c r="B8" i="5"/>
  <c r="B9" i="5"/>
  <c r="B10" i="5"/>
  <c r="B11" i="5"/>
</calcChain>
</file>

<file path=xl/comments1.xml><?xml version="1.0" encoding="utf-8"?>
<comments xmlns="http://schemas.openxmlformats.org/spreadsheetml/2006/main">
  <authors>
    <author>René DEVICHI</author>
  </authors>
  <commentList>
    <comment ref="A8" authorId="0" shapeId="0">
      <text>
        <r>
          <rPr>
            <b/>
            <sz val="9"/>
            <color indexed="81"/>
            <rFont val="Calibri"/>
            <family val="2"/>
          </rPr>
          <t>utilisée dans la formule de Schreiner</t>
        </r>
      </text>
    </comment>
    <comment ref="A9" authorId="0" shapeId="0">
      <text>
        <r>
          <rPr>
            <b/>
            <sz val="9"/>
            <color indexed="81"/>
            <rFont val="Calibri"/>
            <family val="2"/>
          </rPr>
          <t>utilise la formule de Schreiner dans la feuille Tensions</t>
        </r>
      </text>
    </comment>
    <comment ref="A10" authorId="0" shapeId="0">
      <text>
        <r>
          <rPr>
            <sz val="9"/>
            <color indexed="81"/>
            <rFont val="Calibri"/>
            <family val="2"/>
          </rPr>
          <t>msw: meter of salt water</t>
        </r>
      </text>
    </comment>
  </commentList>
</comments>
</file>

<file path=xl/sharedStrings.xml><?xml version="1.0" encoding="utf-8"?>
<sst xmlns="http://schemas.openxmlformats.org/spreadsheetml/2006/main" count="210" uniqueCount="105">
  <si>
    <t>Compartiments MN90</t>
  </si>
  <si>
    <t>Période</t>
  </si>
  <si>
    <t>CSC</t>
  </si>
  <si>
    <t>GPS</t>
  </si>
  <si>
    <t>A</t>
  </si>
  <si>
    <t>B</t>
  </si>
  <si>
    <t>C</t>
  </si>
  <si>
    <t>D</t>
  </si>
  <si>
    <t>E</t>
  </si>
  <si>
    <t>F</t>
  </si>
  <si>
    <t>G</t>
  </si>
  <si>
    <t>H</t>
  </si>
  <si>
    <t>I</t>
  </si>
  <si>
    <t>J</t>
  </si>
  <si>
    <t>K</t>
  </si>
  <si>
    <t>L</t>
  </si>
  <si>
    <t>M</t>
  </si>
  <si>
    <t>N</t>
  </si>
  <si>
    <t>O</t>
  </si>
  <si>
    <t>P</t>
  </si>
  <si>
    <t>Densité de l'eau (kg/l)</t>
  </si>
  <si>
    <t>Gravité (m/s2)</t>
  </si>
  <si>
    <t>Pression atmosphérique (bar)</t>
  </si>
  <si>
    <t>Vitesse de remontée (m/min)</t>
  </si>
  <si>
    <t>Distance entre paliers (m)</t>
  </si>
  <si>
    <t>15 m</t>
  </si>
  <si>
    <t>12 m</t>
  </si>
  <si>
    <t>9 m</t>
  </si>
  <si>
    <t>6 m</t>
  </si>
  <si>
    <t>3 m</t>
  </si>
  <si>
    <t>DTR</t>
  </si>
  <si>
    <t>Intervalles de surface</t>
  </si>
  <si>
    <t>Prof.</t>
  </si>
  <si>
    <t>Durée</t>
  </si>
  <si>
    <t>Azote résiduel</t>
  </si>
  <si>
    <t>Intervalle</t>
  </si>
  <si>
    <t>Détermination de l'azote résiduel</t>
  </si>
  <si>
    <t>Détermination de l'azote résiduel par respiration d'oxygène pur en surface</t>
  </si>
  <si>
    <t>Durée inhalation</t>
  </si>
  <si>
    <t>Azote résiduel initial</t>
  </si>
  <si>
    <t>Détermination de la majoration</t>
  </si>
  <si>
    <t>Profondeur deuxième plongée</t>
  </si>
  <si>
    <t>Calculs Paliers</t>
  </si>
  <si>
    <t>Palier 3m</t>
  </si>
  <si>
    <t>Palier 6m</t>
  </si>
  <si>
    <t>Palier 9m</t>
  </si>
  <si>
    <t>Palier 12m</t>
  </si>
  <si>
    <t>Palier 15m</t>
  </si>
  <si>
    <t>Durée d'inhalation d'oxygène</t>
  </si>
  <si>
    <t>Pourcentage N2</t>
  </si>
  <si>
    <t>Nota: la modification des valeurs des compartiments et des GPS n'est pas prise en compte dans le programme. Elles sont reproduites ici à titre informatif.</t>
  </si>
  <si>
    <t>Valeurs modifiables</t>
  </si>
  <si>
    <t>Majoration (en minutes)</t>
  </si>
  <si>
    <t>Valeurs calculées</t>
  </si>
  <si>
    <t>Mode d'emploi</t>
  </si>
  <si>
    <t>AVERTISSEMENT</t>
  </si>
  <si>
    <t>Le contenu de ce classeur (formules et valeurs) est à titre informatif uniquement et ne doit pas être utilisé pour calculer des tables ou établir une décompression.</t>
  </si>
  <si>
    <t>Nota
Toutes les formules se trouvent dans un module VBA (appuyer sur Alt-F11 pour y accéder).</t>
  </si>
  <si>
    <t>Ti</t>
  </si>
  <si>
    <t>Tn2</t>
  </si>
  <si>
    <t>msw (bar/m)</t>
  </si>
  <si>
    <t>descente</t>
  </si>
  <si>
    <t>au fond</t>
  </si>
  <si>
    <t>remontée</t>
  </si>
  <si>
    <t>initial</t>
  </si>
  <si>
    <t>palier 1</t>
  </si>
  <si>
    <t>palier 2</t>
  </si>
  <si>
    <t>Pression vapeur d'eau (bar)</t>
  </si>
  <si>
    <t>désaturation</t>
  </si>
  <si>
    <t>Mode d'emploi général</t>
  </si>
  <si>
    <t>Profondeur (m)</t>
  </si>
  <si>
    <t>Durée (min)</t>
  </si>
  <si>
    <t>DTR (min)</t>
  </si>
  <si>
    <t>profondeur de remontée max (i.e. présence d'un palier obligatoire)</t>
  </si>
  <si>
    <t>René Devichi - MF1 n° 26625
Août 2015
Version 1.1</t>
  </si>
  <si>
    <t>Corrections</t>
  </si>
  <si>
    <t>erreur dans la formule de msw</t>
  </si>
  <si>
    <t>1.1</t>
  </si>
  <si>
    <t>palier 3</t>
  </si>
  <si>
    <t>profondeur (m)</t>
  </si>
  <si>
    <t>vitesse (m/min)</t>
  </si>
  <si>
    <t>prof. arrivée (m)</t>
  </si>
  <si>
    <t>durée (min)</t>
  </si>
  <si>
    <t>temps (min)</t>
  </si>
  <si>
    <t>R (bar/min)</t>
  </si>
  <si>
    <t>Pabs (bar)</t>
  </si>
  <si>
    <t>Tf départ (bar)</t>
  </si>
  <si>
    <t>Tf arrivée (bar)</t>
  </si>
  <si>
    <t>temps cumulé (min)</t>
  </si>
  <si>
    <t>palier obligatoire (m)</t>
  </si>
  <si>
    <t>ajout profil de la plongée dans Tensioins</t>
  </si>
  <si>
    <t>bouton de recalcul dans Paramètres</t>
  </si>
  <si>
    <t>plongée 30m 40'</t>
  </si>
  <si>
    <t>remontée lente 30m 40'</t>
  </si>
  <si>
    <t>plongée 60m 10'</t>
  </si>
  <si>
    <r>
      <t xml:space="preserve">La feuille </t>
    </r>
    <r>
      <rPr>
        <b/>
        <sz val="12"/>
        <color theme="3" tint="-0.249977111117893"/>
        <rFont val="Calibri"/>
        <family val="2"/>
        <scheme val="minor"/>
      </rPr>
      <t>MN90</t>
    </r>
    <r>
      <rPr>
        <sz val="12"/>
        <color theme="3" tint="-0.249977111117893"/>
        <rFont val="Calibri"/>
        <family val="2"/>
        <scheme val="minor"/>
      </rPr>
      <t xml:space="preserve"> permet de faire des calculs comme si on exploitait les tables.
L'algorithme utilisé pour trouver les paliers suppose que :
* la descente au fond est immédiate (i.e. on sature T min à P mètres, la descente à X m/min n'est pas prise en compte).
* lors de la remontée jusqu'au premier palier et entre paliers, la saturation change. En dehors d'informations sur les hypothèses de calcul des tables, la profondeur (i.e. la tension finale) retenue dans la formule </t>
    </r>
    <r>
      <rPr>
        <i/>
        <sz val="12"/>
        <color theme="3" tint="-0.249977111117893"/>
        <rFont val="Calibri"/>
        <family val="2"/>
        <scheme val="minor"/>
      </rPr>
      <t>Tn2=Ti+(Tf-Ti)*G</t>
    </r>
    <r>
      <rPr>
        <sz val="12"/>
        <color theme="3" tint="-0.249977111117893"/>
        <rFont val="Calibri"/>
        <family val="2"/>
        <scheme val="minor"/>
      </rPr>
      <t xml:space="preserve"> est la mi-profondeur.
* la feuille </t>
    </r>
    <r>
      <rPr>
        <b/>
        <sz val="12"/>
        <color theme="3" tint="-0.249977111117893"/>
        <rFont val="Calibri"/>
        <family val="2"/>
        <scheme val="minor"/>
      </rPr>
      <t>Paramètres</t>
    </r>
    <r>
      <rPr>
        <sz val="12"/>
        <color theme="3" tint="-0.249977111117893"/>
        <rFont val="Calibri"/>
        <family val="2"/>
        <scheme val="minor"/>
      </rPr>
      <t xml:space="preserve"> perme d'ajuster la plupart des constantes.
Cependant, la vitesse entre paliers est toujours 6 m/min. Il faudra recalculer les valeurs si on change un de ces paramètres.
Les feuilles </t>
    </r>
    <r>
      <rPr>
        <b/>
        <sz val="12"/>
        <color theme="3" tint="-0.249977111117893"/>
        <rFont val="Calibri"/>
        <family val="2"/>
        <scheme val="minor"/>
      </rPr>
      <t>Tables,</t>
    </r>
    <r>
      <rPr>
        <sz val="12"/>
        <color theme="3" tint="-0.249977111117893"/>
        <rFont val="Calibri"/>
        <family val="2"/>
        <scheme val="minor"/>
      </rPr>
      <t xml:space="preserve"> </t>
    </r>
    <r>
      <rPr>
        <b/>
        <sz val="12"/>
        <color theme="3" tint="-0.249977111117893"/>
        <rFont val="Calibri"/>
        <family val="2"/>
        <scheme val="minor"/>
      </rPr>
      <t>Azote résiduel,</t>
    </r>
    <r>
      <rPr>
        <sz val="12"/>
        <color theme="3" tint="-0.249977111117893"/>
        <rFont val="Calibri"/>
        <family val="2"/>
        <scheme val="minor"/>
      </rPr>
      <t xml:space="preserve"> </t>
    </r>
    <r>
      <rPr>
        <b/>
        <sz val="12"/>
        <color theme="3" tint="-0.249977111117893"/>
        <rFont val="Calibri"/>
        <family val="2"/>
        <scheme val="minor"/>
      </rPr>
      <t>Majoration,</t>
    </r>
    <r>
      <rPr>
        <sz val="12"/>
        <color theme="3" tint="-0.249977111117893"/>
        <rFont val="Calibri"/>
        <family val="2"/>
        <scheme val="minor"/>
      </rPr>
      <t xml:space="preserve"> </t>
    </r>
    <r>
      <rPr>
        <b/>
        <sz val="12"/>
        <color theme="3" tint="-0.249977111117893"/>
        <rFont val="Calibri"/>
        <family val="2"/>
        <scheme val="minor"/>
      </rPr>
      <t>O2 pur</t>
    </r>
    <r>
      <rPr>
        <sz val="12"/>
        <color theme="3" tint="-0.249977111117893"/>
        <rFont val="Calibri"/>
        <family val="2"/>
        <scheme val="minor"/>
      </rPr>
      <t xml:space="preserve"> reproduisent le contenu des tables MN90. Il y a parfois des petits écarts...
La feuille </t>
    </r>
    <r>
      <rPr>
        <b/>
        <sz val="12"/>
        <color theme="3" tint="-0.249977111117893"/>
        <rFont val="Calibri"/>
        <family val="2"/>
        <scheme val="minor"/>
      </rPr>
      <t>Tensions</t>
    </r>
    <r>
      <rPr>
        <sz val="12"/>
        <color theme="3" tint="-0.249977111117893"/>
        <rFont val="Calibri"/>
        <family val="2"/>
        <scheme val="minor"/>
      </rPr>
      <t xml:space="preserve"> permet de calculer finement les tensions pour les 12 compartiments en utilisant la formule de Schreiner. Pour chaque étape, renseigner les deux profondeurs et soit la durée (même profondeur) soit la vitesse désirée.
Nota: la formule de Schreiner peut prendre en compte la pression de la vapeur d'eau, qui vaut 0,0627 bar à 37°C (cf. la littérature sur le sujet).</t>
    </r>
  </si>
  <si>
    <t>plongée 60m 10' MN90 avec prise en compte remontée</t>
  </si>
  <si>
    <t>plongée 60m 10' MN90 "rectangulaire"</t>
  </si>
  <si>
    <t>profil vierge</t>
  </si>
  <si>
    <t>exemples de profil</t>
  </si>
  <si>
    <t>deux profondeurs 30m 40'</t>
  </si>
  <si>
    <t>profil inversé 30m 40'</t>
  </si>
  <si>
    <t>Formule de Schreiner</t>
  </si>
  <si>
    <t>plongée 60m 15'</t>
  </si>
  <si>
    <t>plongée 60m 20'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</si>
</sst>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
    <numFmt numFmtId="165" formatCode="0.0"/>
    <numFmt numFmtId="166" formatCode="0.0000"/>
    <numFmt numFmtId="167" formatCode="0.0%"/>
  </numFmts>
  <fonts count="22">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2"/>
      <color rgb="FF000000"/>
      <name val="Calibri"/>
      <family val="2"/>
      <scheme val="minor"/>
    </font>
    <font>
      <sz val="8"/>
      <name val="Calibri"/>
      <family val="2"/>
      <scheme val="minor"/>
    </font>
    <font>
      <b/>
      <sz val="12"/>
      <color rgb="FF000000"/>
      <name val="Calibri"/>
      <scheme val="minor"/>
    </font>
    <font>
      <i/>
      <sz val="12"/>
      <color theme="1"/>
      <name val="Calibri"/>
      <scheme val="minor"/>
    </font>
    <font>
      <sz val="14"/>
      <color theme="1"/>
      <name val="Calibri"/>
      <scheme val="minor"/>
    </font>
    <font>
      <sz val="16"/>
      <color rgb="FFFFFF00"/>
      <name val="Calibri"/>
      <scheme val="minor"/>
    </font>
    <font>
      <sz val="9"/>
      <color indexed="81"/>
      <name val="Calibri"/>
      <family val="2"/>
    </font>
    <font>
      <b/>
      <sz val="9"/>
      <color indexed="81"/>
      <name val="Calibri"/>
      <family val="2"/>
    </font>
    <font>
      <i/>
      <sz val="12"/>
      <color theme="1"/>
      <name val="Calibri"/>
      <family val="2"/>
      <scheme val="minor"/>
    </font>
    <font>
      <sz val="16"/>
      <color theme="1"/>
      <name val="Calibri"/>
      <family val="2"/>
      <scheme val="minor"/>
    </font>
    <font>
      <sz val="12"/>
      <color theme="3" tint="-0.249977111117893"/>
      <name val="Calibri"/>
      <family val="2"/>
      <scheme val="minor"/>
    </font>
    <font>
      <b/>
      <sz val="12"/>
      <color theme="3" tint="-0.249977111117893"/>
      <name val="Calibri"/>
      <family val="2"/>
      <scheme val="minor"/>
    </font>
    <font>
      <i/>
      <sz val="12"/>
      <color theme="3" tint="-0.249977111117893"/>
      <name val="Calibri"/>
      <family val="2"/>
      <scheme val="minor"/>
    </font>
    <font>
      <sz val="12"/>
      <color theme="4" tint="0.79998168889431442"/>
      <name val="Calibri"/>
      <family val="2"/>
      <scheme val="minor"/>
    </font>
    <font>
      <sz val="12"/>
      <color rgb="FF000000"/>
      <name val="Calibri"/>
      <family val="2"/>
    </font>
    <font>
      <sz val="9"/>
      <color theme="1"/>
      <name val="Calibri"/>
      <family val="2"/>
      <scheme val="minor"/>
    </font>
    <font>
      <sz val="10"/>
      <color theme="1"/>
      <name val="Calibri"/>
      <family val="2"/>
      <scheme val="minor"/>
    </font>
    <font>
      <sz val="10"/>
      <color rgb="FF000000"/>
      <name val="Geneva"/>
    </font>
  </fonts>
  <fills count="17">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7DEE8"/>
        <bgColor rgb="FF000000"/>
      </patternFill>
    </fill>
    <fill>
      <patternFill patternType="solid">
        <fgColor rgb="FFDAEEF3"/>
        <bgColor rgb="FF000000"/>
      </patternFill>
    </fill>
    <fill>
      <patternFill patternType="solid">
        <fgColor rgb="FFFF0000"/>
        <bgColor indexed="64"/>
      </patternFill>
    </fill>
    <fill>
      <patternFill patternType="solid">
        <fgColor rgb="FFDE9EFF"/>
        <bgColor indexed="64"/>
      </patternFill>
    </fill>
    <fill>
      <patternFill patternType="solid">
        <fgColor theme="1" tint="4.9989318521683403E-2"/>
        <bgColor indexed="64"/>
      </patternFill>
    </fill>
    <fill>
      <patternFill patternType="solid">
        <fgColor theme="7" tint="-0.249977111117893"/>
        <bgColor indexed="64"/>
      </patternFill>
    </fill>
    <fill>
      <patternFill patternType="solid">
        <fgColor rgb="FF00B0F0"/>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diagonal/>
    </border>
    <border>
      <left/>
      <right/>
      <top style="thin">
        <color auto="1"/>
      </top>
      <bottom style="thin">
        <color auto="1"/>
      </bottom>
      <diagonal/>
    </border>
    <border>
      <left style="thin">
        <color auto="1"/>
      </left>
      <right/>
      <top style="dotted">
        <color auto="1"/>
      </top>
      <bottom/>
      <diagonal/>
    </border>
    <border>
      <left/>
      <right style="thin">
        <color auto="1"/>
      </right>
      <top style="dotted">
        <color auto="1"/>
      </top>
      <bottom/>
      <diagonal/>
    </border>
  </borders>
  <cellStyleXfs count="39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207">
    <xf numFmtId="0" fontId="0" fillId="0" borderId="0" xfId="0"/>
    <xf numFmtId="0" fontId="0" fillId="0" borderId="0" xfId="0" applyAlignment="1">
      <alignment horizontal="right"/>
    </xf>
    <xf numFmtId="0" fontId="0" fillId="0" borderId="3" xfId="0" applyFill="1" applyBorder="1" applyAlignment="1">
      <alignment horizontal="right"/>
    </xf>
    <xf numFmtId="0" fontId="0" fillId="0" borderId="4" xfId="0" applyFill="1" applyBorder="1" applyAlignment="1">
      <alignment horizontal="right"/>
    </xf>
    <xf numFmtId="0" fontId="0" fillId="7" borderId="3" xfId="0" applyFill="1" applyBorder="1"/>
    <xf numFmtId="0" fontId="0" fillId="7" borderId="4" xfId="0" applyFill="1" applyBorder="1"/>
    <xf numFmtId="0" fontId="0" fillId="7" borderId="2" xfId="0" applyFill="1" applyBorder="1"/>
    <xf numFmtId="2" fontId="0" fillId="9" borderId="3" xfId="0" applyNumberFormat="1" applyFill="1" applyBorder="1"/>
    <xf numFmtId="2" fontId="0" fillId="9" borderId="4" xfId="0" applyNumberFormat="1" applyFill="1" applyBorder="1"/>
    <xf numFmtId="0" fontId="0" fillId="9" borderId="3" xfId="0" applyFill="1" applyBorder="1"/>
    <xf numFmtId="0" fontId="0" fillId="9" borderId="4" xfId="0" applyFill="1" applyBorder="1"/>
    <xf numFmtId="0" fontId="0" fillId="0" borderId="0" xfId="0" applyAlignment="1">
      <alignment vertical="top" wrapText="1"/>
    </xf>
    <xf numFmtId="0" fontId="0" fillId="0" borderId="1" xfId="0" applyFont="1" applyBorder="1" applyAlignment="1">
      <alignment horizontal="right"/>
    </xf>
    <xf numFmtId="0" fontId="0" fillId="0" borderId="6" xfId="0" applyFont="1" applyBorder="1"/>
    <xf numFmtId="0" fontId="0" fillId="0" borderId="7" xfId="0" applyFont="1" applyBorder="1"/>
    <xf numFmtId="2" fontId="0" fillId="3" borderId="6" xfId="0" applyNumberFormat="1" applyFill="1" applyBorder="1"/>
    <xf numFmtId="2" fontId="0" fillId="3" borderId="14" xfId="0" applyNumberFormat="1" applyFill="1" applyBorder="1"/>
    <xf numFmtId="2" fontId="0" fillId="3" borderId="9" xfId="0" applyNumberFormat="1" applyFill="1" applyBorder="1"/>
    <xf numFmtId="2" fontId="0" fillId="3" borderId="7" xfId="0" applyNumberFormat="1" applyFill="1" applyBorder="1"/>
    <xf numFmtId="2" fontId="0" fillId="3" borderId="0" xfId="0" applyNumberFormat="1" applyFill="1" applyBorder="1"/>
    <xf numFmtId="2" fontId="0" fillId="3" borderId="10" xfId="0" applyNumberFormat="1" applyFill="1" applyBorder="1"/>
    <xf numFmtId="0" fontId="0" fillId="3" borderId="0" xfId="0" applyFill="1" applyBorder="1"/>
    <xf numFmtId="0" fontId="0" fillId="3" borderId="10" xfId="0" applyFill="1" applyBorder="1"/>
    <xf numFmtId="2" fontId="0" fillId="3" borderId="8" xfId="0" applyNumberFormat="1" applyFill="1" applyBorder="1"/>
    <xf numFmtId="2" fontId="0" fillId="3" borderId="12" xfId="0" applyNumberFormat="1" applyFill="1" applyBorder="1"/>
    <xf numFmtId="2" fontId="0" fillId="3" borderId="11" xfId="0" applyNumberFormat="1" applyFill="1" applyBorder="1"/>
    <xf numFmtId="0" fontId="0" fillId="4" borderId="7" xfId="0" applyFill="1" applyBorder="1" applyAlignment="1">
      <alignment horizontal="right"/>
    </xf>
    <xf numFmtId="0" fontId="0" fillId="4" borderId="8" xfId="0" applyFill="1" applyBorder="1" applyAlignment="1">
      <alignment horizontal="right"/>
    </xf>
    <xf numFmtId="20" fontId="0" fillId="4" borderId="13" xfId="0" applyNumberFormat="1" applyFill="1" applyBorder="1"/>
    <xf numFmtId="20" fontId="0" fillId="4" borderId="15" xfId="0" applyNumberFormat="1" applyFill="1" applyBorder="1"/>
    <xf numFmtId="20" fontId="0" fillId="4" borderId="5" xfId="0" applyNumberFormat="1" applyFill="1" applyBorder="1"/>
    <xf numFmtId="2" fontId="0" fillId="4" borderId="2" xfId="0" applyNumberFormat="1" applyFill="1" applyBorder="1"/>
    <xf numFmtId="2" fontId="0" fillId="4" borderId="3" xfId="0" applyNumberFormat="1" applyFill="1" applyBorder="1"/>
    <xf numFmtId="2" fontId="0" fillId="4" borderId="4" xfId="0" applyNumberFormat="1" applyFill="1" applyBorder="1"/>
    <xf numFmtId="0" fontId="0" fillId="3" borderId="6" xfId="0" applyFill="1" applyBorder="1"/>
    <xf numFmtId="0" fontId="0" fillId="3" borderId="14" xfId="0" applyFill="1" applyBorder="1"/>
    <xf numFmtId="0" fontId="0" fillId="3" borderId="9" xfId="0" applyFill="1" applyBorder="1"/>
    <xf numFmtId="0" fontId="0" fillId="3" borderId="7" xfId="0" applyFill="1" applyBorder="1"/>
    <xf numFmtId="0" fontId="0" fillId="3" borderId="8" xfId="0" applyFill="1" applyBorder="1"/>
    <xf numFmtId="0" fontId="0" fillId="3" borderId="12" xfId="0" applyFill="1" applyBorder="1"/>
    <xf numFmtId="0" fontId="0" fillId="3" borderId="11" xfId="0" applyFill="1" applyBorder="1"/>
    <xf numFmtId="0" fontId="0" fillId="4" borderId="13" xfId="0" applyFill="1" applyBorder="1"/>
    <xf numFmtId="0" fontId="0" fillId="4" borderId="15" xfId="0" applyFill="1" applyBorder="1"/>
    <xf numFmtId="0" fontId="0" fillId="4" borderId="5" xfId="0" applyFill="1" applyBorder="1"/>
    <xf numFmtId="0" fontId="0" fillId="4" borderId="7" xfId="0" applyFill="1" applyBorder="1"/>
    <xf numFmtId="0" fontId="0" fillId="4" borderId="8" xfId="0" applyFill="1" applyBorder="1"/>
    <xf numFmtId="0" fontId="0" fillId="6" borderId="7" xfId="0" applyFill="1" applyBorder="1"/>
    <xf numFmtId="0" fontId="0" fillId="5" borderId="0" xfId="0" applyFill="1" applyBorder="1"/>
    <xf numFmtId="0" fontId="0" fillId="5" borderId="10" xfId="0" applyFill="1" applyBorder="1"/>
    <xf numFmtId="0" fontId="0" fillId="7" borderId="7" xfId="0" applyFill="1" applyBorder="1"/>
    <xf numFmtId="0" fontId="0" fillId="8" borderId="0" xfId="0" applyFill="1" applyBorder="1"/>
    <xf numFmtId="0" fontId="0" fillId="8" borderId="10" xfId="0" applyFill="1" applyBorder="1"/>
    <xf numFmtId="0" fontId="0" fillId="7" borderId="8" xfId="0" applyFill="1" applyBorder="1"/>
    <xf numFmtId="0" fontId="0" fillId="8" borderId="12" xfId="0" applyFill="1" applyBorder="1"/>
    <xf numFmtId="0" fontId="0" fillId="8" borderId="11" xfId="0" applyFill="1" applyBorder="1"/>
    <xf numFmtId="0" fontId="0" fillId="0" borderId="2" xfId="0" applyBorder="1"/>
    <xf numFmtId="0" fontId="0" fillId="5" borderId="3" xfId="0" applyFill="1" applyBorder="1"/>
    <xf numFmtId="0" fontId="0" fillId="8" borderId="3" xfId="0" applyFill="1" applyBorder="1"/>
    <xf numFmtId="0" fontId="0" fillId="8" borderId="4" xfId="0" applyFill="1" applyBorder="1"/>
    <xf numFmtId="0" fontId="0" fillId="0" borderId="13" xfId="0" applyBorder="1"/>
    <xf numFmtId="0" fontId="0" fillId="0" borderId="5" xfId="0" applyBorder="1"/>
    <xf numFmtId="0" fontId="0" fillId="0" borderId="15" xfId="0" applyBorder="1"/>
    <xf numFmtId="0" fontId="0" fillId="0" borderId="1" xfId="0" applyBorder="1"/>
    <xf numFmtId="0" fontId="0" fillId="6" borderId="2" xfId="0" applyFill="1" applyBorder="1"/>
    <xf numFmtId="0" fontId="0" fillId="6" borderId="3" xfId="0" applyFill="1" applyBorder="1"/>
    <xf numFmtId="20" fontId="0" fillId="7" borderId="3" xfId="0" applyNumberFormat="1" applyFill="1" applyBorder="1"/>
    <xf numFmtId="20" fontId="0" fillId="6" borderId="3" xfId="0" applyNumberFormat="1" applyFill="1" applyBorder="1"/>
    <xf numFmtId="20" fontId="0" fillId="7" borderId="4" xfId="0" applyNumberFormat="1" applyFill="1" applyBorder="1"/>
    <xf numFmtId="0" fontId="0" fillId="6" borderId="3" xfId="0" applyNumberFormat="1" applyFill="1" applyBorder="1"/>
    <xf numFmtId="0" fontId="0" fillId="7" borderId="4" xfId="0" applyNumberFormat="1" applyFill="1" applyBorder="1"/>
    <xf numFmtId="0" fontId="0" fillId="7" borderId="6" xfId="0" applyFill="1" applyBorder="1"/>
    <xf numFmtId="0" fontId="0" fillId="7" borderId="2" xfId="0" applyNumberFormat="1" applyFill="1" applyBorder="1"/>
    <xf numFmtId="0" fontId="0" fillId="8" borderId="14" xfId="0" applyFill="1" applyBorder="1"/>
    <xf numFmtId="0" fontId="0" fillId="8" borderId="2" xfId="0" applyFill="1" applyBorder="1"/>
    <xf numFmtId="0" fontId="0" fillId="8" borderId="9" xfId="0" applyFill="1" applyBorder="1"/>
    <xf numFmtId="0" fontId="0" fillId="6" borderId="8" xfId="0" applyFill="1" applyBorder="1"/>
    <xf numFmtId="0" fontId="0" fillId="6" borderId="4" xfId="0" applyFill="1" applyBorder="1"/>
    <xf numFmtId="0" fontId="0" fillId="5" borderId="12" xfId="0" applyFill="1" applyBorder="1"/>
    <xf numFmtId="0" fontId="0" fillId="5" borderId="4" xfId="0" applyFill="1" applyBorder="1"/>
    <xf numFmtId="0" fontId="0" fillId="5" borderId="11" xfId="0" applyFill="1" applyBorder="1"/>
    <xf numFmtId="0" fontId="0" fillId="6" borderId="6" xfId="0" applyFill="1" applyBorder="1"/>
    <xf numFmtId="0" fontId="0" fillId="5" borderId="14" xfId="0" applyFill="1" applyBorder="1"/>
    <xf numFmtId="0" fontId="0" fillId="5" borderId="2" xfId="0" applyFill="1" applyBorder="1"/>
    <xf numFmtId="0" fontId="0" fillId="5" borderId="9" xfId="0" applyFill="1" applyBorder="1"/>
    <xf numFmtId="0" fontId="4" fillId="10" borderId="3" xfId="0" applyFont="1" applyFill="1" applyBorder="1"/>
    <xf numFmtId="0" fontId="4" fillId="11" borderId="3" xfId="0" applyFont="1" applyFill="1" applyBorder="1"/>
    <xf numFmtId="0" fontId="4" fillId="10" borderId="2" xfId="0" applyFont="1" applyFill="1" applyBorder="1"/>
    <xf numFmtId="0" fontId="4" fillId="11" borderId="2" xfId="0" applyFont="1" applyFill="1" applyBorder="1"/>
    <xf numFmtId="0" fontId="0" fillId="5" borderId="10" xfId="0" applyFill="1" applyBorder="1" applyAlignment="1">
      <alignment horizontal="right"/>
    </xf>
    <xf numFmtId="0" fontId="0" fillId="8" borderId="10" xfId="0" applyFill="1" applyBorder="1" applyAlignment="1">
      <alignment horizontal="right"/>
    </xf>
    <xf numFmtId="0" fontId="0" fillId="3" borderId="10" xfId="0" applyFill="1" applyBorder="1" applyAlignment="1">
      <alignment horizontal="right"/>
    </xf>
    <xf numFmtId="0" fontId="0" fillId="3" borderId="11" xfId="0" applyFill="1" applyBorder="1" applyAlignment="1">
      <alignment horizontal="right"/>
    </xf>
    <xf numFmtId="0" fontId="0" fillId="5" borderId="9" xfId="0" applyFill="1" applyBorder="1" applyAlignment="1">
      <alignment horizontal="right"/>
    </xf>
    <xf numFmtId="2" fontId="0" fillId="3" borderId="5" xfId="0" applyNumberFormat="1" applyFill="1" applyBorder="1" applyAlignment="1">
      <alignment horizontal="right"/>
    </xf>
    <xf numFmtId="0" fontId="0" fillId="3" borderId="5" xfId="0" applyNumberFormat="1" applyFill="1" applyBorder="1" applyAlignment="1">
      <alignment horizontal="right"/>
    </xf>
    <xf numFmtId="0" fontId="0" fillId="0" borderId="3" xfId="0" applyBorder="1"/>
    <xf numFmtId="0" fontId="0" fillId="0" borderId="4" xfId="0" applyBorder="1"/>
    <xf numFmtId="0" fontId="0" fillId="2" borderId="10" xfId="0" applyFill="1" applyBorder="1" applyAlignment="1" applyProtection="1">
      <alignment horizontal="right"/>
      <protection locked="0"/>
    </xf>
    <xf numFmtId="20" fontId="0" fillId="2" borderId="10" xfId="0" applyNumberFormat="1" applyFill="1" applyBorder="1" applyAlignment="1" applyProtection="1">
      <alignment horizontal="right"/>
      <protection locked="0"/>
    </xf>
    <xf numFmtId="0" fontId="0" fillId="2" borderId="10" xfId="0" applyNumberFormat="1" applyFill="1" applyBorder="1" applyAlignment="1" applyProtection="1">
      <alignment horizontal="right"/>
      <protection locked="0"/>
    </xf>
    <xf numFmtId="0" fontId="0" fillId="2" borderId="3" xfId="0" applyFill="1" applyBorder="1" applyAlignment="1" applyProtection="1">
      <alignment horizontal="center"/>
    </xf>
    <xf numFmtId="0" fontId="0" fillId="3" borderId="4" xfId="0" applyFill="1" applyBorder="1" applyAlignment="1" applyProtection="1">
      <alignment horizontal="center"/>
    </xf>
    <xf numFmtId="164" fontId="0" fillId="7" borderId="9" xfId="0" applyNumberFormat="1" applyFill="1" applyBorder="1" applyProtection="1">
      <protection locked="0"/>
    </xf>
    <xf numFmtId="2" fontId="0" fillId="7" borderId="10" xfId="0" applyNumberFormat="1" applyFill="1" applyBorder="1" applyProtection="1">
      <protection locked="0"/>
    </xf>
    <xf numFmtId="164" fontId="0" fillId="7" borderId="10" xfId="0" applyNumberFormat="1" applyFill="1" applyBorder="1" applyProtection="1">
      <protection locked="0"/>
    </xf>
    <xf numFmtId="165" fontId="0" fillId="7" borderId="10" xfId="0" applyNumberFormat="1" applyFill="1" applyBorder="1" applyProtection="1">
      <protection locked="0"/>
    </xf>
    <xf numFmtId="0" fontId="9" fillId="14" borderId="0" xfId="0" applyFont="1" applyFill="1" applyAlignment="1">
      <alignment horizontal="center"/>
    </xf>
    <xf numFmtId="0" fontId="0" fillId="0" borderId="16" xfId="0" applyBorder="1"/>
    <xf numFmtId="0" fontId="0" fillId="0" borderId="8" xfId="0" applyBorder="1"/>
    <xf numFmtId="164" fontId="0" fillId="3" borderId="11" xfId="0" applyNumberFormat="1" applyFill="1" applyBorder="1"/>
    <xf numFmtId="166" fontId="0" fillId="7" borderId="17" xfId="0" applyNumberFormat="1" applyFill="1" applyBorder="1" applyProtection="1">
      <protection locked="0"/>
    </xf>
    <xf numFmtId="0" fontId="0" fillId="0" borderId="0" xfId="0" applyProtection="1"/>
    <xf numFmtId="0" fontId="12" fillId="0" borderId="1" xfId="0" applyFont="1" applyBorder="1" applyAlignment="1">
      <alignment horizontal="center"/>
    </xf>
    <xf numFmtId="0" fontId="13" fillId="16" borderId="0" xfId="0" applyFont="1" applyFill="1" applyAlignment="1">
      <alignment horizontal="center"/>
    </xf>
    <xf numFmtId="167" fontId="0" fillId="7" borderId="10" xfId="0" applyNumberFormat="1" applyFill="1" applyBorder="1" applyProtection="1">
      <protection locked="0"/>
    </xf>
    <xf numFmtId="9" fontId="0" fillId="0" borderId="0" xfId="0" applyNumberFormat="1"/>
    <xf numFmtId="0" fontId="0" fillId="0" borderId="0" xfId="0" applyAlignment="1" applyProtection="1">
      <alignment horizontal="left"/>
    </xf>
    <xf numFmtId="0" fontId="0" fillId="3" borderId="13" xfId="0" applyNumberFormat="1" applyFill="1" applyBorder="1" applyProtection="1"/>
    <xf numFmtId="0" fontId="0" fillId="3" borderId="15" xfId="0" applyNumberFormat="1" applyFill="1" applyBorder="1" applyProtection="1"/>
    <xf numFmtId="0" fontId="0" fillId="3" borderId="5" xfId="0" applyNumberFormat="1" applyFill="1" applyBorder="1" applyProtection="1"/>
    <xf numFmtId="0" fontId="12" fillId="3" borderId="7" xfId="0" applyFont="1" applyFill="1" applyBorder="1" applyProtection="1"/>
    <xf numFmtId="0" fontId="12" fillId="3" borderId="0" xfId="0" applyFont="1" applyFill="1" applyBorder="1" applyProtection="1"/>
    <xf numFmtId="0" fontId="12" fillId="3" borderId="10" xfId="0" applyFont="1" applyFill="1" applyBorder="1" applyProtection="1"/>
    <xf numFmtId="165" fontId="12" fillId="3" borderId="8" xfId="0" applyNumberFormat="1" applyFont="1" applyFill="1" applyBorder="1" applyProtection="1"/>
    <xf numFmtId="165" fontId="12" fillId="3" borderId="12" xfId="0" applyNumberFormat="1" applyFont="1" applyFill="1" applyBorder="1" applyProtection="1"/>
    <xf numFmtId="165" fontId="12" fillId="3" borderId="11" xfId="0" applyNumberFormat="1" applyFont="1" applyFill="1" applyBorder="1" applyProtection="1"/>
    <xf numFmtId="0" fontId="0" fillId="6" borderId="6" xfId="0" applyFill="1" applyBorder="1" applyProtection="1">
      <protection locked="0"/>
    </xf>
    <xf numFmtId="0" fontId="0" fillId="6" borderId="14" xfId="0" applyFill="1" applyBorder="1" applyProtection="1">
      <protection locked="0"/>
    </xf>
    <xf numFmtId="0" fontId="0" fillId="6" borderId="9" xfId="0" applyFill="1" applyBorder="1" applyProtection="1">
      <protection locked="0"/>
    </xf>
    <xf numFmtId="0" fontId="0" fillId="6" borderId="7" xfId="0" applyFill="1" applyBorder="1" applyProtection="1">
      <protection locked="0"/>
    </xf>
    <xf numFmtId="0" fontId="0" fillId="6" borderId="0" xfId="0" applyFill="1" applyBorder="1" applyProtection="1">
      <protection locked="0"/>
    </xf>
    <xf numFmtId="0" fontId="0" fillId="6" borderId="10" xfId="0" applyFill="1" applyBorder="1" applyProtection="1">
      <protection locked="0"/>
    </xf>
    <xf numFmtId="0" fontId="0" fillId="6" borderId="8" xfId="0" applyNumberFormat="1" applyFill="1" applyBorder="1" applyProtection="1">
      <protection locked="0"/>
    </xf>
    <xf numFmtId="164" fontId="0" fillId="6" borderId="12" xfId="0" applyNumberFormat="1" applyFill="1" applyBorder="1" applyProtection="1">
      <protection locked="0"/>
    </xf>
    <xf numFmtId="0" fontId="0" fillId="6" borderId="12" xfId="0" applyNumberFormat="1" applyFill="1" applyBorder="1" applyProtection="1">
      <protection locked="0"/>
    </xf>
    <xf numFmtId="0" fontId="0" fillId="6" borderId="11" xfId="0" applyNumberFormat="1" applyFill="1" applyBorder="1" applyProtection="1">
      <protection locked="0"/>
    </xf>
    <xf numFmtId="0" fontId="0" fillId="0" borderId="0" xfId="0" applyAlignment="1" applyProtection="1"/>
    <xf numFmtId="0" fontId="20" fillId="0" borderId="1" xfId="0" applyFont="1" applyBorder="1" applyAlignment="1" applyProtection="1">
      <alignment horizontal="right"/>
    </xf>
    <xf numFmtId="0" fontId="20" fillId="0" borderId="0" xfId="0" applyFont="1" applyProtection="1"/>
    <xf numFmtId="0" fontId="20" fillId="9" borderId="3" xfId="0" applyFont="1" applyFill="1" applyBorder="1" applyProtection="1"/>
    <xf numFmtId="2" fontId="20" fillId="9" borderId="3" xfId="0" applyNumberFormat="1" applyFont="1" applyFill="1" applyBorder="1" applyProtection="1"/>
    <xf numFmtId="2" fontId="20" fillId="3" borderId="7" xfId="0" applyNumberFormat="1" applyFont="1" applyFill="1" applyBorder="1" applyProtection="1"/>
    <xf numFmtId="2" fontId="20" fillId="3" borderId="0" xfId="0" applyNumberFormat="1" applyFont="1" applyFill="1" applyBorder="1" applyProtection="1"/>
    <xf numFmtId="2" fontId="20" fillId="3" borderId="10" xfId="0" applyNumberFormat="1" applyFont="1" applyFill="1" applyBorder="1" applyProtection="1"/>
    <xf numFmtId="0" fontId="20" fillId="9" borderId="4" xfId="0" applyFont="1" applyFill="1" applyBorder="1" applyProtection="1"/>
    <xf numFmtId="2" fontId="20" fillId="9" borderId="4" xfId="0" applyNumberFormat="1" applyFont="1" applyFill="1" applyBorder="1" applyProtection="1"/>
    <xf numFmtId="2" fontId="20" fillId="3" borderId="8" xfId="0" applyNumberFormat="1" applyFont="1" applyFill="1" applyBorder="1" applyProtection="1"/>
    <xf numFmtId="2" fontId="20" fillId="3" borderId="12" xfId="0" applyNumberFormat="1" applyFont="1" applyFill="1" applyBorder="1" applyProtection="1"/>
    <xf numFmtId="2" fontId="20" fillId="3" borderId="11" xfId="0" applyNumberFormat="1" applyFont="1" applyFill="1" applyBorder="1" applyProtection="1"/>
    <xf numFmtId="0" fontId="20" fillId="0" borderId="6" xfId="0" applyFont="1" applyBorder="1" applyAlignment="1" applyProtection="1">
      <alignment horizontal="right"/>
    </xf>
    <xf numFmtId="0" fontId="20" fillId="0" borderId="14" xfId="0" applyFont="1" applyBorder="1" applyAlignment="1" applyProtection="1">
      <alignment horizontal="right"/>
    </xf>
    <xf numFmtId="0" fontId="20" fillId="0" borderId="9" xfId="0" applyFont="1" applyBorder="1" applyAlignment="1" applyProtection="1">
      <alignment horizontal="right"/>
    </xf>
    <xf numFmtId="0" fontId="20" fillId="3" borderId="7" xfId="0" applyFont="1" applyFill="1" applyBorder="1" applyProtection="1"/>
    <xf numFmtId="164" fontId="20" fillId="3" borderId="0" xfId="0" applyNumberFormat="1" applyFont="1" applyFill="1" applyBorder="1" applyProtection="1"/>
    <xf numFmtId="164" fontId="20" fillId="3" borderId="10" xfId="0" applyNumberFormat="1" applyFont="1" applyFill="1" applyBorder="1" applyProtection="1"/>
    <xf numFmtId="0" fontId="20" fillId="3" borderId="8" xfId="0" applyFont="1" applyFill="1" applyBorder="1" applyProtection="1"/>
    <xf numFmtId="164" fontId="20" fillId="3" borderId="12" xfId="0" applyNumberFormat="1" applyFont="1" applyFill="1" applyBorder="1" applyProtection="1"/>
    <xf numFmtId="164" fontId="20" fillId="3" borderId="11" xfId="0" applyNumberFormat="1" applyFont="1" applyFill="1" applyBorder="1" applyProtection="1"/>
    <xf numFmtId="0" fontId="19" fillId="0" borderId="0" xfId="0" applyFont="1" applyAlignment="1" applyProtection="1"/>
    <xf numFmtId="0" fontId="0" fillId="6" borderId="6" xfId="0" applyNumberFormat="1" applyFill="1" applyBorder="1" applyProtection="1">
      <protection locked="0"/>
    </xf>
    <xf numFmtId="0" fontId="0" fillId="6" borderId="14" xfId="0" applyNumberFormat="1" applyFill="1" applyBorder="1" applyProtection="1">
      <protection locked="0"/>
    </xf>
    <xf numFmtId="0" fontId="0" fillId="6" borderId="9" xfId="0" applyNumberFormat="1" applyFill="1" applyBorder="1" applyProtection="1">
      <protection locked="0"/>
    </xf>
    <xf numFmtId="0" fontId="0" fillId="6" borderId="7" xfId="0" applyNumberFormat="1" applyFill="1" applyBorder="1" applyProtection="1">
      <protection locked="0"/>
    </xf>
    <xf numFmtId="0" fontId="0" fillId="6" borderId="0" xfId="0" applyNumberFormat="1" applyFill="1" applyBorder="1" applyProtection="1">
      <protection locked="0"/>
    </xf>
    <xf numFmtId="0" fontId="0" fillId="6" borderId="10" xfId="0" applyNumberFormat="1" applyFill="1" applyBorder="1" applyProtection="1">
      <protection locked="0"/>
    </xf>
    <xf numFmtId="0" fontId="0" fillId="0" borderId="6" xfId="0" applyBorder="1"/>
    <xf numFmtId="0" fontId="0" fillId="0" borderId="9" xfId="0" applyBorder="1"/>
    <xf numFmtId="0" fontId="0" fillId="0" borderId="7" xfId="0" applyBorder="1"/>
    <xf numFmtId="0" fontId="0" fillId="0" borderId="10" xfId="0" applyBorder="1"/>
    <xf numFmtId="0" fontId="0" fillId="0" borderId="11" xfId="0" applyBorder="1"/>
    <xf numFmtId="165" fontId="12" fillId="3" borderId="6" xfId="0" applyNumberFormat="1" applyFont="1" applyFill="1" applyBorder="1" applyProtection="1"/>
    <xf numFmtId="165" fontId="12" fillId="3" borderId="14" xfId="0" applyNumberFormat="1" applyFont="1" applyFill="1" applyBorder="1" applyProtection="1"/>
    <xf numFmtId="165" fontId="12" fillId="3" borderId="9" xfId="0" applyNumberFormat="1" applyFont="1" applyFill="1" applyBorder="1" applyProtection="1"/>
    <xf numFmtId="0" fontId="8" fillId="12" borderId="0" xfId="0" applyFont="1" applyFill="1" applyAlignment="1">
      <alignment horizontal="center" vertical="center" wrapText="1"/>
    </xf>
    <xf numFmtId="0" fontId="7" fillId="0" borderId="2" xfId="0" applyFont="1" applyBorder="1" applyAlignment="1">
      <alignment horizontal="left" vertical="top" wrapText="1"/>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17" fillId="15" borderId="0" xfId="0" applyFont="1" applyFill="1" applyAlignment="1">
      <alignment horizontal="left" wrapText="1"/>
    </xf>
    <xf numFmtId="0" fontId="13" fillId="3" borderId="0" xfId="0" applyFont="1" applyFill="1" applyAlignment="1">
      <alignment horizontal="center"/>
    </xf>
    <xf numFmtId="0" fontId="14" fillId="4" borderId="0" xfId="0" applyFont="1" applyFill="1" applyAlignment="1">
      <alignment horizontal="left" vertical="top" wrapText="1"/>
    </xf>
    <xf numFmtId="0" fontId="6" fillId="13" borderId="13" xfId="0" applyFont="1" applyFill="1" applyBorder="1" applyAlignment="1">
      <alignment horizontal="left" vertical="top" wrapText="1"/>
    </xf>
    <xf numFmtId="0" fontId="6" fillId="13" borderId="5" xfId="0" applyFont="1" applyFill="1" applyBorder="1" applyAlignment="1">
      <alignment horizontal="left" vertical="top" wrapText="1"/>
    </xf>
    <xf numFmtId="0" fontId="3" fillId="13" borderId="13" xfId="0" applyFont="1" applyFill="1" applyBorder="1" applyAlignment="1">
      <alignment horizontal="left"/>
    </xf>
    <xf numFmtId="0" fontId="3" fillId="13" borderId="5" xfId="0" applyFont="1" applyFill="1" applyBorder="1" applyAlignment="1">
      <alignment horizontal="left"/>
    </xf>
    <xf numFmtId="0" fontId="20" fillId="0" borderId="6" xfId="0" applyFont="1" applyBorder="1" applyAlignment="1" applyProtection="1">
      <alignment horizontal="center"/>
    </xf>
    <xf numFmtId="0" fontId="20" fillId="0" borderId="14" xfId="0" applyFont="1" applyBorder="1" applyAlignment="1" applyProtection="1">
      <alignment horizontal="center"/>
    </xf>
    <xf numFmtId="0" fontId="20" fillId="0" borderId="9" xfId="0" applyFont="1" applyBorder="1" applyAlignment="1" applyProtection="1">
      <alignment horizontal="center"/>
    </xf>
    <xf numFmtId="0" fontId="0" fillId="0" borderId="0" xfId="0" applyAlignment="1" applyProtection="1">
      <alignment horizontal="left"/>
    </xf>
    <xf numFmtId="0" fontId="3" fillId="0" borderId="14" xfId="0" applyFont="1" applyBorder="1" applyAlignment="1">
      <alignment horizontal="center"/>
    </xf>
    <xf numFmtId="0" fontId="3" fillId="0" borderId="9" xfId="0" applyFont="1" applyBorder="1" applyAlignment="1">
      <alignment horizont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xf>
    <xf numFmtId="0" fontId="3" fillId="0" borderId="6" xfId="0" applyFont="1" applyBorder="1" applyAlignment="1">
      <alignment horizontal="center"/>
    </xf>
    <xf numFmtId="0" fontId="3" fillId="0" borderId="2"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xf>
    <xf numFmtId="0" fontId="3" fillId="0" borderId="13" xfId="0" applyFont="1" applyBorder="1" applyAlignment="1">
      <alignment horizontal="center"/>
    </xf>
    <xf numFmtId="0" fontId="3" fillId="0" borderId="5" xfId="0" applyFont="1" applyBorder="1" applyAlignment="1">
      <alignment horizontal="center"/>
    </xf>
    <xf numFmtId="0" fontId="7" fillId="0" borderId="6" xfId="0" applyFont="1" applyBorder="1" applyAlignment="1">
      <alignment horizontal="left" vertical="top" wrapText="1"/>
    </xf>
    <xf numFmtId="0" fontId="7" fillId="0" borderId="9" xfId="0" applyFont="1" applyBorder="1" applyAlignment="1">
      <alignment horizontal="left" vertical="top" wrapText="1"/>
    </xf>
    <xf numFmtId="0" fontId="7" fillId="0" borderId="7" xfId="0" applyFont="1" applyBorder="1" applyAlignment="1">
      <alignment horizontal="left" vertical="top" wrapText="1"/>
    </xf>
    <xf numFmtId="0" fontId="7" fillId="0" borderId="10" xfId="0" applyFont="1" applyBorder="1" applyAlignment="1">
      <alignment horizontal="left" vertical="top" wrapText="1"/>
    </xf>
    <xf numFmtId="0" fontId="7" fillId="0" borderId="8" xfId="0" applyFont="1" applyBorder="1" applyAlignment="1">
      <alignment horizontal="left" vertical="top" wrapText="1"/>
    </xf>
    <xf numFmtId="0" fontId="7" fillId="0" borderId="11" xfId="0" applyFont="1" applyBorder="1" applyAlignment="1">
      <alignment horizontal="left" vertical="top" wrapText="1"/>
    </xf>
    <xf numFmtId="166" fontId="0" fillId="3" borderId="17" xfId="0" applyNumberFormat="1" applyFill="1" applyBorder="1" applyProtection="1"/>
  </cellXfs>
  <cellStyles count="395">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1" builtinId="8" hidden="1"/>
    <cellStyle name="Lien hypertexte" xfId="53" builtinId="8" hidden="1"/>
    <cellStyle name="Lien hypertexte" xfId="55" builtinId="8" hidden="1"/>
    <cellStyle name="Lien hypertexte" xfId="57" builtinId="8" hidden="1"/>
    <cellStyle name="Lien hypertexte" xfId="59" builtinId="8" hidden="1"/>
    <cellStyle name="Lien hypertexte" xfId="61" builtinId="8" hidden="1"/>
    <cellStyle name="Lien hypertexte" xfId="63" builtinId="8" hidden="1"/>
    <cellStyle name="Lien hypertexte" xfId="65" builtinId="8" hidden="1"/>
    <cellStyle name="Lien hypertexte" xfId="67" builtinId="8" hidden="1"/>
    <cellStyle name="Lien hypertexte" xfId="69" builtinId="8" hidden="1"/>
    <cellStyle name="Lien hypertexte" xfId="71" builtinId="8" hidden="1"/>
    <cellStyle name="Lien hypertexte" xfId="73" builtinId="8" hidden="1"/>
    <cellStyle name="Lien hypertexte" xfId="75" builtinId="8" hidden="1"/>
    <cellStyle name="Lien hypertexte" xfId="77" builtinId="8" hidden="1"/>
    <cellStyle name="Lien hypertexte" xfId="79" builtinId="8" hidden="1"/>
    <cellStyle name="Lien hypertexte" xfId="81" builtinId="8" hidden="1"/>
    <cellStyle name="Lien hypertexte" xfId="83" builtinId="8" hidden="1"/>
    <cellStyle name="Lien hypertexte" xfId="85" builtinId="8" hidden="1"/>
    <cellStyle name="Lien hypertexte" xfId="87" builtinId="8" hidden="1"/>
    <cellStyle name="Lien hypertexte" xfId="89" builtinId="8" hidden="1"/>
    <cellStyle name="Lien hypertexte" xfId="91" builtinId="8" hidden="1"/>
    <cellStyle name="Lien hypertexte" xfId="93" builtinId="8" hidden="1"/>
    <cellStyle name="Lien hypertexte" xfId="95" builtinId="8" hidden="1"/>
    <cellStyle name="Lien hypertexte" xfId="97" builtinId="8" hidden="1"/>
    <cellStyle name="Lien hypertexte" xfId="99" builtinId="8" hidden="1"/>
    <cellStyle name="Lien hypertexte" xfId="101" builtinId="8" hidden="1"/>
    <cellStyle name="Lien hypertexte" xfId="103" builtinId="8" hidden="1"/>
    <cellStyle name="Lien hypertexte" xfId="105" builtinId="8" hidden="1"/>
    <cellStyle name="Lien hypertexte" xfId="107" builtinId="8" hidden="1"/>
    <cellStyle name="Lien hypertexte" xfId="109" builtinId="8" hidden="1"/>
    <cellStyle name="Lien hypertexte" xfId="111" builtinId="8" hidden="1"/>
    <cellStyle name="Lien hypertexte" xfId="113" builtinId="8" hidden="1"/>
    <cellStyle name="Lien hypertexte" xfId="115" builtinId="8" hidden="1"/>
    <cellStyle name="Lien hypertexte" xfId="117" builtinId="8" hidden="1"/>
    <cellStyle name="Lien hypertexte" xfId="119" builtinId="8" hidden="1"/>
    <cellStyle name="Lien hypertexte" xfId="121" builtinId="8" hidden="1"/>
    <cellStyle name="Lien hypertexte" xfId="123" builtinId="8" hidden="1"/>
    <cellStyle name="Lien hypertexte" xfId="125" builtinId="8" hidden="1"/>
    <cellStyle name="Lien hypertexte" xfId="127" builtinId="8" hidden="1"/>
    <cellStyle name="Lien hypertexte" xfId="129" builtinId="8" hidden="1"/>
    <cellStyle name="Lien hypertexte" xfId="131" builtinId="8" hidden="1"/>
    <cellStyle name="Lien hypertexte" xfId="133" builtinId="8" hidden="1"/>
    <cellStyle name="Lien hypertexte" xfId="135" builtinId="8" hidden="1"/>
    <cellStyle name="Lien hypertexte" xfId="137" builtinId="8" hidden="1"/>
    <cellStyle name="Lien hypertexte" xfId="139" builtinId="8" hidden="1"/>
    <cellStyle name="Lien hypertexte" xfId="141" builtinId="8" hidden="1"/>
    <cellStyle name="Lien hypertexte" xfId="143" builtinId="8" hidden="1"/>
    <cellStyle name="Lien hypertexte" xfId="145" builtinId="8" hidden="1"/>
    <cellStyle name="Lien hypertexte" xfId="147" builtinId="8" hidden="1"/>
    <cellStyle name="Lien hypertexte" xfId="149" builtinId="8" hidden="1"/>
    <cellStyle name="Lien hypertexte" xfId="151" builtinId="8" hidden="1"/>
    <cellStyle name="Lien hypertexte" xfId="153" builtinId="8" hidden="1"/>
    <cellStyle name="Lien hypertexte" xfId="155" builtinId="8" hidden="1"/>
    <cellStyle name="Lien hypertexte" xfId="157" builtinId="8" hidden="1"/>
    <cellStyle name="Lien hypertexte" xfId="159" builtinId="8" hidden="1"/>
    <cellStyle name="Lien hypertexte" xfId="161" builtinId="8" hidden="1"/>
    <cellStyle name="Lien hypertexte" xfId="163" builtinId="8" hidden="1"/>
    <cellStyle name="Lien hypertexte" xfId="165" builtinId="8" hidden="1"/>
    <cellStyle name="Lien hypertexte" xfId="167" builtinId="8" hidden="1"/>
    <cellStyle name="Lien hypertexte" xfId="169" builtinId="8" hidden="1"/>
    <cellStyle name="Lien hypertexte" xfId="171" builtinId="8" hidden="1"/>
    <cellStyle name="Lien hypertexte" xfId="173" builtinId="8" hidden="1"/>
    <cellStyle name="Lien hypertexte" xfId="175" builtinId="8" hidden="1"/>
    <cellStyle name="Lien hypertexte" xfId="177" builtinId="8" hidden="1"/>
    <cellStyle name="Lien hypertexte" xfId="179" builtinId="8" hidden="1"/>
    <cellStyle name="Lien hypertexte" xfId="181" builtinId="8" hidden="1"/>
    <cellStyle name="Lien hypertexte" xfId="183" builtinId="8" hidden="1"/>
    <cellStyle name="Lien hypertexte" xfId="185" builtinId="8" hidden="1"/>
    <cellStyle name="Lien hypertexte" xfId="187" builtinId="8" hidden="1"/>
    <cellStyle name="Lien hypertexte" xfId="189" builtinId="8" hidden="1"/>
    <cellStyle name="Lien hypertexte" xfId="191" builtinId="8" hidden="1"/>
    <cellStyle name="Lien hypertexte" xfId="193" builtinId="8" hidden="1"/>
    <cellStyle name="Lien hypertexte" xfId="195" builtinId="8" hidden="1"/>
    <cellStyle name="Lien hypertexte" xfId="197" builtinId="8" hidden="1"/>
    <cellStyle name="Lien hypertexte" xfId="199" builtinId="8" hidden="1"/>
    <cellStyle name="Lien hypertexte" xfId="201" builtinId="8" hidden="1"/>
    <cellStyle name="Lien hypertexte" xfId="203" builtinId="8" hidden="1"/>
    <cellStyle name="Lien hypertexte" xfId="205" builtinId="8" hidden="1"/>
    <cellStyle name="Lien hypertexte" xfId="207" builtinId="8" hidden="1"/>
    <cellStyle name="Lien hypertexte" xfId="209" builtinId="8" hidden="1"/>
    <cellStyle name="Lien hypertexte" xfId="211" builtinId="8" hidden="1"/>
    <cellStyle name="Lien hypertexte" xfId="213" builtinId="8" hidden="1"/>
    <cellStyle name="Lien hypertexte" xfId="215" builtinId="8" hidden="1"/>
    <cellStyle name="Lien hypertexte" xfId="217" builtinId="8" hidden="1"/>
    <cellStyle name="Lien hypertexte" xfId="219" builtinId="8" hidden="1"/>
    <cellStyle name="Lien hypertexte" xfId="221" builtinId="8" hidden="1"/>
    <cellStyle name="Lien hypertexte" xfId="223" builtinId="8" hidden="1"/>
    <cellStyle name="Lien hypertexte" xfId="225" builtinId="8" hidden="1"/>
    <cellStyle name="Lien hypertexte" xfId="227" builtinId="8" hidden="1"/>
    <cellStyle name="Lien hypertexte" xfId="229" builtinId="8" hidden="1"/>
    <cellStyle name="Lien hypertexte" xfId="231" builtinId="8" hidden="1"/>
    <cellStyle name="Lien hypertexte" xfId="233" builtinId="8" hidden="1"/>
    <cellStyle name="Lien hypertexte" xfId="235" builtinId="8" hidden="1"/>
    <cellStyle name="Lien hypertexte" xfId="237" builtinId="8" hidden="1"/>
    <cellStyle name="Lien hypertexte" xfId="239" builtinId="8" hidden="1"/>
    <cellStyle name="Lien hypertexte" xfId="241" builtinId="8" hidden="1"/>
    <cellStyle name="Lien hypertexte" xfId="243" builtinId="8" hidden="1"/>
    <cellStyle name="Lien hypertexte" xfId="245" builtinId="8" hidden="1"/>
    <cellStyle name="Lien hypertexte" xfId="247" builtinId="8" hidden="1"/>
    <cellStyle name="Lien hypertexte" xfId="249" builtinId="8" hidden="1"/>
    <cellStyle name="Lien hypertexte" xfId="251" builtinId="8" hidden="1"/>
    <cellStyle name="Lien hypertexte" xfId="253" builtinId="8" hidden="1"/>
    <cellStyle name="Lien hypertexte" xfId="255" builtinId="8" hidden="1"/>
    <cellStyle name="Lien hypertexte" xfId="257" builtinId="8" hidden="1"/>
    <cellStyle name="Lien hypertexte" xfId="259" builtinId="8" hidden="1"/>
    <cellStyle name="Lien hypertexte" xfId="261" builtinId="8" hidden="1"/>
    <cellStyle name="Lien hypertexte" xfId="263" builtinId="8" hidden="1"/>
    <cellStyle name="Lien hypertexte" xfId="265" builtinId="8" hidden="1"/>
    <cellStyle name="Lien hypertexte" xfId="267" builtinId="8" hidden="1"/>
    <cellStyle name="Lien hypertexte" xfId="269" builtinId="8" hidden="1"/>
    <cellStyle name="Lien hypertexte" xfId="271" builtinId="8" hidden="1"/>
    <cellStyle name="Lien hypertexte" xfId="273" builtinId="8" hidden="1"/>
    <cellStyle name="Lien hypertexte" xfId="275" builtinId="8" hidden="1"/>
    <cellStyle name="Lien hypertexte" xfId="277" builtinId="8" hidden="1"/>
    <cellStyle name="Lien hypertexte" xfId="279" builtinId="8" hidden="1"/>
    <cellStyle name="Lien hypertexte" xfId="281" builtinId="8" hidden="1"/>
    <cellStyle name="Lien hypertexte" xfId="283" builtinId="8" hidden="1"/>
    <cellStyle name="Lien hypertexte" xfId="285" builtinId="8" hidden="1"/>
    <cellStyle name="Lien hypertexte" xfId="287" builtinId="8" hidden="1"/>
    <cellStyle name="Lien hypertexte" xfId="289" builtinId="8" hidden="1"/>
    <cellStyle name="Lien hypertexte" xfId="291" builtinId="8" hidden="1"/>
    <cellStyle name="Lien hypertexte" xfId="293" builtinId="8" hidden="1"/>
    <cellStyle name="Lien hypertexte" xfId="295" builtinId="8" hidden="1"/>
    <cellStyle name="Lien hypertexte" xfId="297" builtinId="8" hidden="1"/>
    <cellStyle name="Lien hypertexte" xfId="299" builtinId="8" hidden="1"/>
    <cellStyle name="Lien hypertexte" xfId="301" builtinId="8" hidden="1"/>
    <cellStyle name="Lien hypertexte" xfId="303" builtinId="8" hidden="1"/>
    <cellStyle name="Lien hypertexte" xfId="305" builtinId="8" hidden="1"/>
    <cellStyle name="Lien hypertexte" xfId="307" builtinId="8" hidden="1"/>
    <cellStyle name="Lien hypertexte" xfId="309" builtinId="8" hidden="1"/>
    <cellStyle name="Lien hypertexte" xfId="311" builtinId="8" hidden="1"/>
    <cellStyle name="Lien hypertexte" xfId="313" builtinId="8" hidden="1"/>
    <cellStyle name="Lien hypertexte" xfId="315" builtinId="8" hidden="1"/>
    <cellStyle name="Lien hypertexte" xfId="317" builtinId="8" hidden="1"/>
    <cellStyle name="Lien hypertexte" xfId="319" builtinId="8" hidden="1"/>
    <cellStyle name="Lien hypertexte" xfId="321" builtinId="8" hidden="1"/>
    <cellStyle name="Lien hypertexte" xfId="323" builtinId="8" hidden="1"/>
    <cellStyle name="Lien hypertexte" xfId="325" builtinId="8" hidden="1"/>
    <cellStyle name="Lien hypertexte" xfId="327" builtinId="8" hidden="1"/>
    <cellStyle name="Lien hypertexte" xfId="329" builtinId="8" hidden="1"/>
    <cellStyle name="Lien hypertexte" xfId="331" builtinId="8" hidden="1"/>
    <cellStyle name="Lien hypertexte" xfId="333" builtinId="8" hidden="1"/>
    <cellStyle name="Lien hypertexte" xfId="335" builtinId="8" hidden="1"/>
    <cellStyle name="Lien hypertexte" xfId="337" builtinId="8" hidden="1"/>
    <cellStyle name="Lien hypertexte" xfId="339" builtinId="8" hidden="1"/>
    <cellStyle name="Lien hypertexte" xfId="341" builtinId="8" hidden="1"/>
    <cellStyle name="Lien hypertexte" xfId="343" builtinId="8" hidden="1"/>
    <cellStyle name="Lien hypertexte" xfId="345" builtinId="8" hidden="1"/>
    <cellStyle name="Lien hypertexte" xfId="347" builtinId="8" hidden="1"/>
    <cellStyle name="Lien hypertexte" xfId="349" builtinId="8" hidden="1"/>
    <cellStyle name="Lien hypertexte" xfId="351" builtinId="8" hidden="1"/>
    <cellStyle name="Lien hypertexte" xfId="353" builtinId="8" hidden="1"/>
    <cellStyle name="Lien hypertexte" xfId="355" builtinId="8" hidden="1"/>
    <cellStyle name="Lien hypertexte" xfId="357" builtinId="8" hidden="1"/>
    <cellStyle name="Lien hypertexte" xfId="359" builtinId="8" hidden="1"/>
    <cellStyle name="Lien hypertexte" xfId="361" builtinId="8" hidden="1"/>
    <cellStyle name="Lien hypertexte" xfId="363" builtinId="8" hidden="1"/>
    <cellStyle name="Lien hypertexte" xfId="365" builtinId="8" hidden="1"/>
    <cellStyle name="Lien hypertexte" xfId="367" builtinId="8" hidden="1"/>
    <cellStyle name="Lien hypertexte" xfId="369" builtinId="8" hidden="1"/>
    <cellStyle name="Lien hypertexte" xfId="371" builtinId="8" hidden="1"/>
    <cellStyle name="Lien hypertexte" xfId="373" builtinId="8" hidden="1"/>
    <cellStyle name="Lien hypertexte" xfId="375" builtinId="8" hidden="1"/>
    <cellStyle name="Lien hypertexte" xfId="377" builtinId="8" hidden="1"/>
    <cellStyle name="Lien hypertexte" xfId="379" builtinId="8" hidden="1"/>
    <cellStyle name="Lien hypertexte" xfId="381" builtinId="8" hidden="1"/>
    <cellStyle name="Lien hypertexte" xfId="383" builtinId="8" hidden="1"/>
    <cellStyle name="Lien hypertexte" xfId="385" builtinId="8" hidden="1"/>
    <cellStyle name="Lien hypertexte" xfId="387" builtinId="8" hidden="1"/>
    <cellStyle name="Lien hypertexte" xfId="389" builtinId="8" hidden="1"/>
    <cellStyle name="Lien hypertexte" xfId="391" builtinId="8" hidden="1"/>
    <cellStyle name="Lien hypertexte" xfId="393"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2" builtinId="9" hidden="1"/>
    <cellStyle name="Lien hypertexte visité" xfId="54" builtinId="9" hidden="1"/>
    <cellStyle name="Lien hypertexte visité" xfId="56" builtinId="9" hidden="1"/>
    <cellStyle name="Lien hypertexte visité" xfId="58" builtinId="9" hidden="1"/>
    <cellStyle name="Lien hypertexte visité" xfId="60" builtinId="9" hidden="1"/>
    <cellStyle name="Lien hypertexte visité" xfId="62" builtinId="9" hidden="1"/>
    <cellStyle name="Lien hypertexte visité" xfId="64" builtinId="9" hidden="1"/>
    <cellStyle name="Lien hypertexte visité" xfId="66" builtinId="9" hidden="1"/>
    <cellStyle name="Lien hypertexte visité" xfId="68" builtinId="9" hidden="1"/>
    <cellStyle name="Lien hypertexte visité" xfId="70" builtinId="9" hidden="1"/>
    <cellStyle name="Lien hypertexte visité" xfId="72" builtinId="9" hidden="1"/>
    <cellStyle name="Lien hypertexte visité" xfId="74" builtinId="9" hidden="1"/>
    <cellStyle name="Lien hypertexte visité" xfId="76" builtinId="9" hidden="1"/>
    <cellStyle name="Lien hypertexte visité" xfId="78" builtinId="9" hidden="1"/>
    <cellStyle name="Lien hypertexte visité" xfId="80" builtinId="9" hidden="1"/>
    <cellStyle name="Lien hypertexte visité" xfId="82" builtinId="9" hidden="1"/>
    <cellStyle name="Lien hypertexte visité" xfId="84" builtinId="9" hidden="1"/>
    <cellStyle name="Lien hypertexte visité" xfId="86" builtinId="9" hidden="1"/>
    <cellStyle name="Lien hypertexte visité" xfId="88" builtinId="9" hidden="1"/>
    <cellStyle name="Lien hypertexte visité" xfId="90" builtinId="9" hidden="1"/>
    <cellStyle name="Lien hypertexte visité" xfId="92" builtinId="9" hidden="1"/>
    <cellStyle name="Lien hypertexte visité" xfId="94" builtinId="9" hidden="1"/>
    <cellStyle name="Lien hypertexte visité" xfId="96" builtinId="9" hidden="1"/>
    <cellStyle name="Lien hypertexte visité" xfId="98" builtinId="9" hidden="1"/>
    <cellStyle name="Lien hypertexte visité" xfId="100" builtinId="9" hidden="1"/>
    <cellStyle name="Lien hypertexte visité" xfId="102" builtinId="9" hidden="1"/>
    <cellStyle name="Lien hypertexte visité" xfId="104" builtinId="9" hidden="1"/>
    <cellStyle name="Lien hypertexte visité" xfId="106" builtinId="9" hidden="1"/>
    <cellStyle name="Lien hypertexte visité" xfId="108" builtinId="9" hidden="1"/>
    <cellStyle name="Lien hypertexte visité" xfId="110" builtinId="9" hidden="1"/>
    <cellStyle name="Lien hypertexte visité" xfId="112" builtinId="9" hidden="1"/>
    <cellStyle name="Lien hypertexte visité" xfId="114" builtinId="9" hidden="1"/>
    <cellStyle name="Lien hypertexte visité" xfId="116" builtinId="9" hidden="1"/>
    <cellStyle name="Lien hypertexte visité" xfId="118" builtinId="9" hidden="1"/>
    <cellStyle name="Lien hypertexte visité" xfId="120" builtinId="9" hidden="1"/>
    <cellStyle name="Lien hypertexte visité" xfId="122" builtinId="9" hidden="1"/>
    <cellStyle name="Lien hypertexte visité" xfId="124" builtinId="9" hidden="1"/>
    <cellStyle name="Lien hypertexte visité" xfId="126" builtinId="9" hidden="1"/>
    <cellStyle name="Lien hypertexte visité" xfId="128" builtinId="9" hidden="1"/>
    <cellStyle name="Lien hypertexte visité" xfId="130" builtinId="9" hidden="1"/>
    <cellStyle name="Lien hypertexte visité" xfId="132" builtinId="9" hidden="1"/>
    <cellStyle name="Lien hypertexte visité" xfId="134" builtinId="9" hidden="1"/>
    <cellStyle name="Lien hypertexte visité" xfId="136" builtinId="9" hidden="1"/>
    <cellStyle name="Lien hypertexte visité" xfId="138" builtinId="9" hidden="1"/>
    <cellStyle name="Lien hypertexte visité" xfId="140" builtinId="9" hidden="1"/>
    <cellStyle name="Lien hypertexte visité" xfId="142" builtinId="9" hidden="1"/>
    <cellStyle name="Lien hypertexte visité" xfId="144" builtinId="9" hidden="1"/>
    <cellStyle name="Lien hypertexte visité" xfId="146" builtinId="9" hidden="1"/>
    <cellStyle name="Lien hypertexte visité" xfId="148" builtinId="9" hidden="1"/>
    <cellStyle name="Lien hypertexte visité" xfId="150" builtinId="9" hidden="1"/>
    <cellStyle name="Lien hypertexte visité" xfId="152" builtinId="9" hidden="1"/>
    <cellStyle name="Lien hypertexte visité" xfId="154" builtinId="9" hidden="1"/>
    <cellStyle name="Lien hypertexte visité" xfId="156" builtinId="9" hidden="1"/>
    <cellStyle name="Lien hypertexte visité" xfId="158" builtinId="9" hidden="1"/>
    <cellStyle name="Lien hypertexte visité" xfId="160" builtinId="9" hidden="1"/>
    <cellStyle name="Lien hypertexte visité" xfId="162" builtinId="9" hidden="1"/>
    <cellStyle name="Lien hypertexte visité" xfId="164" builtinId="9" hidden="1"/>
    <cellStyle name="Lien hypertexte visité" xfId="166" builtinId="9" hidden="1"/>
    <cellStyle name="Lien hypertexte visité" xfId="168" builtinId="9" hidden="1"/>
    <cellStyle name="Lien hypertexte visité" xfId="170" builtinId="9" hidden="1"/>
    <cellStyle name="Lien hypertexte visité" xfId="172" builtinId="9" hidden="1"/>
    <cellStyle name="Lien hypertexte visité" xfId="174" builtinId="9" hidden="1"/>
    <cellStyle name="Lien hypertexte visité" xfId="176" builtinId="9" hidden="1"/>
    <cellStyle name="Lien hypertexte visité" xfId="178" builtinId="9" hidden="1"/>
    <cellStyle name="Lien hypertexte visité" xfId="180" builtinId="9" hidden="1"/>
    <cellStyle name="Lien hypertexte visité" xfId="182" builtinId="9" hidden="1"/>
    <cellStyle name="Lien hypertexte visité" xfId="184" builtinId="9" hidden="1"/>
    <cellStyle name="Lien hypertexte visité" xfId="186" builtinId="9" hidden="1"/>
    <cellStyle name="Lien hypertexte visité" xfId="188" builtinId="9" hidden="1"/>
    <cellStyle name="Lien hypertexte visité" xfId="190" builtinId="9" hidden="1"/>
    <cellStyle name="Lien hypertexte visité" xfId="192" builtinId="9" hidden="1"/>
    <cellStyle name="Lien hypertexte visité" xfId="194" builtinId="9" hidden="1"/>
    <cellStyle name="Lien hypertexte visité" xfId="196" builtinId="9" hidden="1"/>
    <cellStyle name="Lien hypertexte visité" xfId="198" builtinId="9" hidden="1"/>
    <cellStyle name="Lien hypertexte visité" xfId="200" builtinId="9" hidden="1"/>
    <cellStyle name="Lien hypertexte visité" xfId="202" builtinId="9" hidden="1"/>
    <cellStyle name="Lien hypertexte visité" xfId="204" builtinId="9" hidden="1"/>
    <cellStyle name="Lien hypertexte visité" xfId="206" builtinId="9" hidden="1"/>
    <cellStyle name="Lien hypertexte visité" xfId="208" builtinId="9" hidden="1"/>
    <cellStyle name="Lien hypertexte visité" xfId="210" builtinId="9" hidden="1"/>
    <cellStyle name="Lien hypertexte visité" xfId="212" builtinId="9" hidden="1"/>
    <cellStyle name="Lien hypertexte visité" xfId="214" builtinId="9" hidden="1"/>
    <cellStyle name="Lien hypertexte visité" xfId="216" builtinId="9" hidden="1"/>
    <cellStyle name="Lien hypertexte visité" xfId="218" builtinId="9" hidden="1"/>
    <cellStyle name="Lien hypertexte visité" xfId="220" builtinId="9" hidden="1"/>
    <cellStyle name="Lien hypertexte visité" xfId="222" builtinId="9" hidden="1"/>
    <cellStyle name="Lien hypertexte visité" xfId="224" builtinId="9" hidden="1"/>
    <cellStyle name="Lien hypertexte visité" xfId="226" builtinId="9" hidden="1"/>
    <cellStyle name="Lien hypertexte visité" xfId="228" builtinId="9" hidden="1"/>
    <cellStyle name="Lien hypertexte visité" xfId="230" builtinId="9" hidden="1"/>
    <cellStyle name="Lien hypertexte visité" xfId="232" builtinId="9" hidden="1"/>
    <cellStyle name="Lien hypertexte visité" xfId="234" builtinId="9" hidden="1"/>
    <cellStyle name="Lien hypertexte visité" xfId="236" builtinId="9" hidden="1"/>
    <cellStyle name="Lien hypertexte visité" xfId="238" builtinId="9" hidden="1"/>
    <cellStyle name="Lien hypertexte visité" xfId="240" builtinId="9" hidden="1"/>
    <cellStyle name="Lien hypertexte visité" xfId="242" builtinId="9" hidden="1"/>
    <cellStyle name="Lien hypertexte visité" xfId="244" builtinId="9" hidden="1"/>
    <cellStyle name="Lien hypertexte visité" xfId="246" builtinId="9" hidden="1"/>
    <cellStyle name="Lien hypertexte visité" xfId="248" builtinId="9" hidden="1"/>
    <cellStyle name="Lien hypertexte visité" xfId="250" builtinId="9" hidden="1"/>
    <cellStyle name="Lien hypertexte visité" xfId="252" builtinId="9" hidden="1"/>
    <cellStyle name="Lien hypertexte visité" xfId="254" builtinId="9" hidden="1"/>
    <cellStyle name="Lien hypertexte visité" xfId="256" builtinId="9" hidden="1"/>
    <cellStyle name="Lien hypertexte visité" xfId="258" builtinId="9" hidden="1"/>
    <cellStyle name="Lien hypertexte visité" xfId="260" builtinId="9" hidden="1"/>
    <cellStyle name="Lien hypertexte visité" xfId="262" builtinId="9" hidden="1"/>
    <cellStyle name="Lien hypertexte visité" xfId="264" builtinId="9" hidden="1"/>
    <cellStyle name="Lien hypertexte visité" xfId="266" builtinId="9" hidden="1"/>
    <cellStyle name="Lien hypertexte visité" xfId="268" builtinId="9" hidden="1"/>
    <cellStyle name="Lien hypertexte visité" xfId="270" builtinId="9" hidden="1"/>
    <cellStyle name="Lien hypertexte visité" xfId="272" builtinId="9" hidden="1"/>
    <cellStyle name="Lien hypertexte visité" xfId="274" builtinId="9" hidden="1"/>
    <cellStyle name="Lien hypertexte visité" xfId="276" builtinId="9" hidden="1"/>
    <cellStyle name="Lien hypertexte visité" xfId="278" builtinId="9" hidden="1"/>
    <cellStyle name="Lien hypertexte visité" xfId="280" builtinId="9" hidden="1"/>
    <cellStyle name="Lien hypertexte visité" xfId="282" builtinId="9" hidden="1"/>
    <cellStyle name="Lien hypertexte visité" xfId="284" builtinId="9" hidden="1"/>
    <cellStyle name="Lien hypertexte visité" xfId="286" builtinId="9" hidden="1"/>
    <cellStyle name="Lien hypertexte visité" xfId="288" builtinId="9" hidden="1"/>
    <cellStyle name="Lien hypertexte visité" xfId="290" builtinId="9" hidden="1"/>
    <cellStyle name="Lien hypertexte visité" xfId="292" builtinId="9" hidden="1"/>
    <cellStyle name="Lien hypertexte visité" xfId="294" builtinId="9" hidden="1"/>
    <cellStyle name="Lien hypertexte visité" xfId="296" builtinId="9" hidden="1"/>
    <cellStyle name="Lien hypertexte visité" xfId="298" builtinId="9" hidden="1"/>
    <cellStyle name="Lien hypertexte visité" xfId="300" builtinId="9" hidden="1"/>
    <cellStyle name="Lien hypertexte visité" xfId="302" builtinId="9" hidden="1"/>
    <cellStyle name="Lien hypertexte visité" xfId="304" builtinId="9" hidden="1"/>
    <cellStyle name="Lien hypertexte visité" xfId="306" builtinId="9" hidden="1"/>
    <cellStyle name="Lien hypertexte visité" xfId="308" builtinId="9" hidden="1"/>
    <cellStyle name="Lien hypertexte visité" xfId="310" builtinId="9" hidden="1"/>
    <cellStyle name="Lien hypertexte visité" xfId="312" builtinId="9" hidden="1"/>
    <cellStyle name="Lien hypertexte visité" xfId="314" builtinId="9" hidden="1"/>
    <cellStyle name="Lien hypertexte visité" xfId="316" builtinId="9" hidden="1"/>
    <cellStyle name="Lien hypertexte visité" xfId="318" builtinId="9" hidden="1"/>
    <cellStyle name="Lien hypertexte visité" xfId="320" builtinId="9" hidden="1"/>
    <cellStyle name="Lien hypertexte visité" xfId="322" builtinId="9" hidden="1"/>
    <cellStyle name="Lien hypertexte visité" xfId="324" builtinId="9" hidden="1"/>
    <cellStyle name="Lien hypertexte visité" xfId="326" builtinId="9" hidden="1"/>
    <cellStyle name="Lien hypertexte visité" xfId="328" builtinId="9" hidden="1"/>
    <cellStyle name="Lien hypertexte visité" xfId="330" builtinId="9" hidden="1"/>
    <cellStyle name="Lien hypertexte visité" xfId="332" builtinId="9" hidden="1"/>
    <cellStyle name="Lien hypertexte visité" xfId="334" builtinId="9" hidden="1"/>
    <cellStyle name="Lien hypertexte visité" xfId="336" builtinId="9" hidden="1"/>
    <cellStyle name="Lien hypertexte visité" xfId="338" builtinId="9" hidden="1"/>
    <cellStyle name="Lien hypertexte visité" xfId="340" builtinId="9" hidden="1"/>
    <cellStyle name="Lien hypertexte visité" xfId="342" builtinId="9" hidden="1"/>
    <cellStyle name="Lien hypertexte visité" xfId="344" builtinId="9" hidden="1"/>
    <cellStyle name="Lien hypertexte visité" xfId="346" builtinId="9" hidden="1"/>
    <cellStyle name="Lien hypertexte visité" xfId="348" builtinId="9" hidden="1"/>
    <cellStyle name="Lien hypertexte visité" xfId="350" builtinId="9" hidden="1"/>
    <cellStyle name="Lien hypertexte visité" xfId="352" builtinId="9" hidden="1"/>
    <cellStyle name="Lien hypertexte visité" xfId="354" builtinId="9" hidden="1"/>
    <cellStyle name="Lien hypertexte visité" xfId="356" builtinId="9" hidden="1"/>
    <cellStyle name="Lien hypertexte visité" xfId="358" builtinId="9" hidden="1"/>
    <cellStyle name="Lien hypertexte visité" xfId="360" builtinId="9" hidden="1"/>
    <cellStyle name="Lien hypertexte visité" xfId="362" builtinId="9" hidden="1"/>
    <cellStyle name="Lien hypertexte visité" xfId="364" builtinId="9" hidden="1"/>
    <cellStyle name="Lien hypertexte visité" xfId="366" builtinId="9" hidden="1"/>
    <cellStyle name="Lien hypertexte visité" xfId="368" builtinId="9" hidden="1"/>
    <cellStyle name="Lien hypertexte visité" xfId="370" builtinId="9" hidden="1"/>
    <cellStyle name="Lien hypertexte visité" xfId="372" builtinId="9" hidden="1"/>
    <cellStyle name="Lien hypertexte visité" xfId="374" builtinId="9" hidden="1"/>
    <cellStyle name="Lien hypertexte visité" xfId="376" builtinId="9" hidden="1"/>
    <cellStyle name="Lien hypertexte visité" xfId="378" builtinId="9" hidden="1"/>
    <cellStyle name="Lien hypertexte visité" xfId="380" builtinId="9" hidden="1"/>
    <cellStyle name="Lien hypertexte visité" xfId="382" builtinId="9" hidden="1"/>
    <cellStyle name="Lien hypertexte visité" xfId="384" builtinId="9" hidden="1"/>
    <cellStyle name="Lien hypertexte visité" xfId="386" builtinId="9" hidden="1"/>
    <cellStyle name="Lien hypertexte visité" xfId="388" builtinId="9" hidden="1"/>
    <cellStyle name="Lien hypertexte visité" xfId="390" builtinId="9" hidden="1"/>
    <cellStyle name="Lien hypertexte visité" xfId="392" builtinId="9" hidden="1"/>
    <cellStyle name="Lien hypertexte visité" xfId="394" builtinId="9" hidden="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v>profil de la plongée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Tensions!$D$13:$M$13</c:f>
              <c:numCache>
                <c:formatCode>0\.0</c:formatCode>
                <c:ptCount val="10"/>
                <c:pt idx="0" formatCode="General">
                  <c:v>0</c:v>
                </c:pt>
                <c:pt idx="1">
                  <c:v>3</c:v>
                </c:pt>
                <c:pt idx="2">
                  <c:v>20</c:v>
                </c:pt>
                <c:pt idx="3">
                  <c:v>23.4</c:v>
                </c:pt>
                <c:pt idx="4">
                  <c:v>26.4</c:v>
                </c:pt>
                <c:pt idx="5">
                  <c:v>26.9</c:v>
                </c:pt>
                <c:pt idx="6">
                  <c:v>31.9</c:v>
                </c:pt>
                <c:pt idx="7">
                  <c:v>32.4</c:v>
                </c:pt>
                <c:pt idx="8">
                  <c:v>58.4</c:v>
                </c:pt>
                <c:pt idx="9">
                  <c:v>58.9</c:v>
                </c:pt>
              </c:numCache>
            </c:numRef>
          </c:xVal>
          <c:yVal>
            <c:numRef>
              <c:f>Tensions!$D$4:$M$4</c:f>
              <c:numCache>
                <c:formatCode>General</c:formatCode>
                <c:ptCount val="10"/>
                <c:pt idx="0">
                  <c:v>0</c:v>
                </c:pt>
                <c:pt idx="1">
                  <c:v>60</c:v>
                </c:pt>
                <c:pt idx="2">
                  <c:v>60</c:v>
                </c:pt>
                <c:pt idx="3">
                  <c:v>9</c:v>
                </c:pt>
                <c:pt idx="4">
                  <c:v>9</c:v>
                </c:pt>
                <c:pt idx="5">
                  <c:v>6</c:v>
                </c:pt>
                <c:pt idx="6">
                  <c:v>6</c:v>
                </c:pt>
                <c:pt idx="7">
                  <c:v>3</c:v>
                </c:pt>
                <c:pt idx="8">
                  <c:v>3</c:v>
                </c:pt>
                <c:pt idx="9">
                  <c:v>0</c:v>
                </c:pt>
              </c:numCache>
            </c:numRef>
          </c:yVal>
          <c:smooth val="0"/>
        </c:ser>
        <c:dLbls>
          <c:showLegendKey val="0"/>
          <c:showVal val="0"/>
          <c:showCatName val="0"/>
          <c:showSerName val="0"/>
          <c:showPercent val="0"/>
          <c:showBubbleSize val="0"/>
        </c:dLbls>
        <c:axId val="276795880"/>
        <c:axId val="276797448"/>
      </c:scatterChart>
      <c:valAx>
        <c:axId val="27679588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6797448"/>
        <c:crosses val="autoZero"/>
        <c:crossBetween val="midCat"/>
      </c:valAx>
      <c:valAx>
        <c:axId val="276797448"/>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67958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v>C7</c:v>
          </c:tx>
          <c:spPr>
            <a:ln w="19050" cap="rnd">
              <a:solidFill>
                <a:schemeClr val="accent2"/>
              </a:solidFill>
              <a:round/>
            </a:ln>
            <a:effectLst/>
          </c:spPr>
          <c:marker>
            <c:symbol val="none"/>
          </c:marker>
          <c:xVal>
            <c:numRef>
              <c:f>Tensions!$D$13:$M$13</c:f>
              <c:numCache>
                <c:formatCode>0\.0</c:formatCode>
                <c:ptCount val="10"/>
                <c:pt idx="0" formatCode="General">
                  <c:v>0</c:v>
                </c:pt>
                <c:pt idx="1">
                  <c:v>3</c:v>
                </c:pt>
                <c:pt idx="2">
                  <c:v>20</c:v>
                </c:pt>
                <c:pt idx="3">
                  <c:v>23.4</c:v>
                </c:pt>
                <c:pt idx="4">
                  <c:v>26.4</c:v>
                </c:pt>
                <c:pt idx="5">
                  <c:v>26.9</c:v>
                </c:pt>
                <c:pt idx="6">
                  <c:v>31.9</c:v>
                </c:pt>
                <c:pt idx="7">
                  <c:v>32.4</c:v>
                </c:pt>
                <c:pt idx="8">
                  <c:v>58.4</c:v>
                </c:pt>
                <c:pt idx="9">
                  <c:v>58.9</c:v>
                </c:pt>
              </c:numCache>
            </c:numRef>
          </c:xVal>
          <c:yVal>
            <c:numRef>
              <c:f>Tensions!$D$17:$M$17</c:f>
              <c:numCache>
                <c:formatCode>0\.000</c:formatCode>
                <c:ptCount val="10"/>
                <c:pt idx="0" formatCode="General">
                  <c:v>0.8</c:v>
                </c:pt>
                <c:pt idx="1">
                  <c:v>1.4344091924874613</c:v>
                </c:pt>
                <c:pt idx="2">
                  <c:v>4.7854016653372637</c:v>
                </c:pt>
                <c:pt idx="3">
                  <c:v>4.3881140813849528</c:v>
                </c:pt>
                <c:pt idx="4">
                  <c:v>3.638109309537207</c:v>
                </c:pt>
                <c:pt idx="5">
                  <c:v>3.5275269806685734</c:v>
                </c:pt>
                <c:pt idx="6">
                  <c:v>2.6302959012614227</c:v>
                </c:pt>
                <c:pt idx="7">
                  <c:v>2.5568026815959453</c:v>
                </c:pt>
                <c:pt idx="8">
                  <c:v>1.1092243065308949</c:v>
                </c:pt>
                <c:pt idx="9">
                  <c:v>1.0976130542313172</c:v>
                </c:pt>
              </c:numCache>
            </c:numRef>
          </c:yVal>
          <c:smooth val="0"/>
        </c:ser>
        <c:ser>
          <c:idx val="2"/>
          <c:order val="1"/>
          <c:tx>
            <c:v>C30</c:v>
          </c:tx>
          <c:spPr>
            <a:ln w="19050" cap="rnd">
              <a:solidFill>
                <a:schemeClr val="accent3"/>
              </a:solidFill>
              <a:round/>
            </a:ln>
            <a:effectLst/>
          </c:spPr>
          <c:marker>
            <c:symbol val="none"/>
          </c:marker>
          <c:xVal>
            <c:numRef>
              <c:f>Tensions!$D$13:$M$13</c:f>
              <c:numCache>
                <c:formatCode>0\.0</c:formatCode>
                <c:ptCount val="10"/>
                <c:pt idx="0" formatCode="General">
                  <c:v>0</c:v>
                </c:pt>
                <c:pt idx="1">
                  <c:v>3</c:v>
                </c:pt>
                <c:pt idx="2">
                  <c:v>20</c:v>
                </c:pt>
                <c:pt idx="3">
                  <c:v>23.4</c:v>
                </c:pt>
                <c:pt idx="4">
                  <c:v>26.4</c:v>
                </c:pt>
                <c:pt idx="5">
                  <c:v>26.9</c:v>
                </c:pt>
                <c:pt idx="6">
                  <c:v>31.9</c:v>
                </c:pt>
                <c:pt idx="7">
                  <c:v>32.4</c:v>
                </c:pt>
                <c:pt idx="8">
                  <c:v>58.4</c:v>
                </c:pt>
                <c:pt idx="9">
                  <c:v>58.9</c:v>
                </c:pt>
              </c:numCache>
            </c:numRef>
          </c:xVal>
          <c:yVal>
            <c:numRef>
              <c:f>Tensions!$D$21:$M$21</c:f>
              <c:numCache>
                <c:formatCode>0\.000</c:formatCode>
                <c:ptCount val="10"/>
                <c:pt idx="0" formatCode="General">
                  <c:v>0.8</c:v>
                </c:pt>
                <c:pt idx="1">
                  <c:v>0.95921832623066072</c:v>
                </c:pt>
                <c:pt idx="2">
                  <c:v>2.4503671349735234</c:v>
                </c:pt>
                <c:pt idx="3">
                  <c:v>2.5283929829116203</c:v>
                </c:pt>
                <c:pt idx="4">
                  <c:v>2.4575048563462403</c:v>
                </c:pt>
                <c:pt idx="5">
                  <c:v>2.4447795865315349</c:v>
                </c:pt>
                <c:pt idx="6">
                  <c:v>2.3122281202588981</c:v>
                </c:pt>
                <c:pt idx="7">
                  <c:v>2.2984148609627848</c:v>
                </c:pt>
                <c:pt idx="8">
                  <c:v>1.7074787976522023</c:v>
                </c:pt>
                <c:pt idx="9">
                  <c:v>1.6978550416518445</c:v>
                </c:pt>
              </c:numCache>
            </c:numRef>
          </c:yVal>
          <c:smooth val="0"/>
        </c:ser>
        <c:ser>
          <c:idx val="3"/>
          <c:order val="2"/>
          <c:tx>
            <c:v>C60</c:v>
          </c:tx>
          <c:spPr>
            <a:ln w="19050" cap="rnd">
              <a:solidFill>
                <a:schemeClr val="accent4"/>
              </a:solidFill>
              <a:round/>
            </a:ln>
            <a:effectLst/>
          </c:spPr>
          <c:marker>
            <c:symbol val="none"/>
          </c:marker>
          <c:xVal>
            <c:numRef>
              <c:f>Tensions!$D$13:$M$13</c:f>
              <c:numCache>
                <c:formatCode>0\.0</c:formatCode>
                <c:ptCount val="10"/>
                <c:pt idx="0" formatCode="General">
                  <c:v>0</c:v>
                </c:pt>
                <c:pt idx="1">
                  <c:v>3</c:v>
                </c:pt>
                <c:pt idx="2">
                  <c:v>20</c:v>
                </c:pt>
                <c:pt idx="3">
                  <c:v>23.4</c:v>
                </c:pt>
                <c:pt idx="4">
                  <c:v>26.4</c:v>
                </c:pt>
                <c:pt idx="5">
                  <c:v>26.9</c:v>
                </c:pt>
                <c:pt idx="6">
                  <c:v>31.9</c:v>
                </c:pt>
                <c:pt idx="7">
                  <c:v>32.4</c:v>
                </c:pt>
                <c:pt idx="8">
                  <c:v>58.4</c:v>
                </c:pt>
                <c:pt idx="9">
                  <c:v>58.9</c:v>
                </c:pt>
              </c:numCache>
            </c:numRef>
          </c:xVal>
          <c:yVal>
            <c:numRef>
              <c:f>Tensions!$D$24:$M$24</c:f>
              <c:numCache>
                <c:formatCode>0\.000</c:formatCode>
                <c:ptCount val="10"/>
                <c:pt idx="0" formatCode="General">
                  <c:v>0.8</c:v>
                </c:pt>
                <c:pt idx="1">
                  <c:v>0.88051639013745453</c:v>
                </c:pt>
                <c:pt idx="2">
                  <c:v>1.7131020141091871</c:v>
                </c:pt>
                <c:pt idx="3">
                  <c:v>1.7817925102384491</c:v>
                </c:pt>
                <c:pt idx="4">
                  <c:v>1.7711662625386178</c:v>
                </c:pt>
                <c:pt idx="5">
                  <c:v>1.768738936459898</c:v>
                </c:pt>
                <c:pt idx="6">
                  <c:v>1.738492863255982</c:v>
                </c:pt>
                <c:pt idx="7">
                  <c:v>1.7348714238257816</c:v>
                </c:pt>
                <c:pt idx="8">
                  <c:v>1.5415721091024697</c:v>
                </c:pt>
                <c:pt idx="9">
                  <c:v>1.537702551473934</c:v>
                </c:pt>
              </c:numCache>
            </c:numRef>
          </c:yVal>
          <c:smooth val="0"/>
        </c:ser>
        <c:ser>
          <c:idx val="0"/>
          <c:order val="3"/>
          <c:tx>
            <c:v>C120</c:v>
          </c:tx>
          <c:spPr>
            <a:ln w="19050" cap="rnd">
              <a:solidFill>
                <a:schemeClr val="accent1"/>
              </a:solidFill>
              <a:round/>
            </a:ln>
            <a:effectLst/>
          </c:spPr>
          <c:marker>
            <c:symbol val="none"/>
          </c:marker>
          <c:xVal>
            <c:numRef>
              <c:f>Tensions!$D$13:$M$13</c:f>
              <c:numCache>
                <c:formatCode>0\.0</c:formatCode>
                <c:ptCount val="10"/>
                <c:pt idx="0" formatCode="General">
                  <c:v>0</c:v>
                </c:pt>
                <c:pt idx="1">
                  <c:v>3</c:v>
                </c:pt>
                <c:pt idx="2">
                  <c:v>20</c:v>
                </c:pt>
                <c:pt idx="3">
                  <c:v>23.4</c:v>
                </c:pt>
                <c:pt idx="4">
                  <c:v>26.4</c:v>
                </c:pt>
                <c:pt idx="5">
                  <c:v>26.9</c:v>
                </c:pt>
                <c:pt idx="6">
                  <c:v>31.9</c:v>
                </c:pt>
                <c:pt idx="7">
                  <c:v>32.4</c:v>
                </c:pt>
                <c:pt idx="8">
                  <c:v>58.4</c:v>
                </c:pt>
                <c:pt idx="9">
                  <c:v>58.9</c:v>
                </c:pt>
              </c:numCache>
            </c:numRef>
          </c:xVal>
          <c:yVal>
            <c:numRef>
              <c:f>Tensions!$D$27:$M$27</c:f>
              <c:numCache>
                <c:formatCode>0\.000</c:formatCode>
                <c:ptCount val="10"/>
                <c:pt idx="0" formatCode="General">
                  <c:v>0.8</c:v>
                </c:pt>
                <c:pt idx="1">
                  <c:v>0.84048792265529604</c:v>
                </c:pt>
                <c:pt idx="2">
                  <c:v>1.2809472486798628</c:v>
                </c:pt>
                <c:pt idx="3">
                  <c:v>1.3241639572718025</c:v>
                </c:pt>
                <c:pt idx="4">
                  <c:v>1.3266665844921692</c:v>
                </c:pt>
                <c:pt idx="5">
                  <c:v>1.3267332488032813</c:v>
                </c:pt>
                <c:pt idx="6">
                  <c:v>1.3239748860945311</c:v>
                </c:pt>
                <c:pt idx="7">
                  <c:v>1.3233571659205625</c:v>
                </c:pt>
                <c:pt idx="8">
                  <c:v>1.2768486764785958</c:v>
                </c:pt>
                <c:pt idx="9">
                  <c:v>1.2756747185800041</c:v>
                </c:pt>
              </c:numCache>
            </c:numRef>
          </c:yVal>
          <c:smooth val="0"/>
        </c:ser>
        <c:dLbls>
          <c:showLegendKey val="0"/>
          <c:showVal val="0"/>
          <c:showCatName val="0"/>
          <c:showSerName val="0"/>
          <c:showPercent val="0"/>
          <c:showBubbleSize val="0"/>
        </c:dLbls>
        <c:axId val="276792352"/>
        <c:axId val="276792744"/>
      </c:scatterChart>
      <c:valAx>
        <c:axId val="27679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6792744"/>
        <c:crosses val="autoZero"/>
        <c:crossBetween val="midCat"/>
      </c:valAx>
      <c:valAx>
        <c:axId val="276792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67923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62" dropStyle="combo" dx="16" fmlaLink="'Exemples de profil'!$A$1" fmlaRange="'Exemples de profil'!$B$3:$B$12" noThreeD="1" sel="10" val="0"/>
</file>

<file path=xl/ctrlProps/ctrlProp2.xml><?xml version="1.0" encoding="utf-8"?>
<formControlPr xmlns="http://schemas.microsoft.com/office/spreadsheetml/2009/9/main" objectType="CheckBox" checked="Checked" fmlaLink="Paramètres!$B$9"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161925</xdr:colOff>
      <xdr:row>2</xdr:row>
      <xdr:rowOff>0</xdr:rowOff>
    </xdr:from>
    <xdr:to>
      <xdr:col>19</xdr:col>
      <xdr:colOff>590550</xdr:colOff>
      <xdr:row>16</xdr:row>
      <xdr:rowOff>19050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161925</xdr:colOff>
          <xdr:row>0</xdr:row>
          <xdr:rowOff>0</xdr:rowOff>
        </xdr:from>
        <xdr:to>
          <xdr:col>17</xdr:col>
          <xdr:colOff>800100</xdr:colOff>
          <xdr:row>1</xdr:row>
          <xdr:rowOff>47625</xdr:rowOff>
        </xdr:to>
        <xdr:sp macro="" textlink="">
          <xdr:nvSpPr>
            <xdr:cNvPr id="9217" name="Drop Down 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14</xdr:col>
      <xdr:colOff>161925</xdr:colOff>
      <xdr:row>16</xdr:row>
      <xdr:rowOff>128587</xdr:rowOff>
    </xdr:from>
    <xdr:to>
      <xdr:col>19</xdr:col>
      <xdr:colOff>590550</xdr:colOff>
      <xdr:row>33</xdr:row>
      <xdr:rowOff>119062</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809625</xdr:colOff>
          <xdr:row>0</xdr:row>
          <xdr:rowOff>9525</xdr:rowOff>
        </xdr:from>
        <xdr:to>
          <xdr:col>20</xdr:col>
          <xdr:colOff>19050</xdr:colOff>
          <xdr:row>1</xdr:row>
          <xdr:rowOff>38100</xdr:rowOff>
        </xdr:to>
        <xdr:sp macro="" textlink="">
          <xdr:nvSpPr>
            <xdr:cNvPr id="9219" name="Check Box 3" hidden="1">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fr-FR" sz="1000" b="0" i="0" u="none" strike="noStrike" baseline="0">
                  <a:solidFill>
                    <a:srgbClr val="000000"/>
                  </a:solidFill>
                  <a:latin typeface="Geneva"/>
                </a:rPr>
                <a:t>Formule de Schreiner</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733424</xdr:colOff>
          <xdr:row>10</xdr:row>
          <xdr:rowOff>28574</xdr:rowOff>
        </xdr:from>
        <xdr:to>
          <xdr:col>0</xdr:col>
          <xdr:colOff>1838325</xdr:colOff>
          <xdr:row>11</xdr:row>
          <xdr:rowOff>152399</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rPr>
                <a:t>Recalculer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F23"/>
  <sheetViews>
    <sheetView workbookViewId="0">
      <selection activeCell="F10" sqref="F10"/>
    </sheetView>
  </sheetViews>
  <sheetFormatPr baseColWidth="10" defaultRowHeight="15.75"/>
  <cols>
    <col min="1" max="1" width="28.125" customWidth="1"/>
    <col min="2" max="2" width="2" customWidth="1"/>
    <col min="3" max="3" width="59.5" customWidth="1"/>
    <col min="4" max="4" width="2" customWidth="1"/>
    <col min="5" max="5" width="3.875" bestFit="1" customWidth="1"/>
    <col min="6" max="6" width="35.125" customWidth="1"/>
  </cols>
  <sheetData>
    <row r="1" spans="1:6" ht="21">
      <c r="A1" s="106" t="s">
        <v>55</v>
      </c>
      <c r="C1" s="113" t="s">
        <v>54</v>
      </c>
      <c r="E1" s="178" t="s">
        <v>75</v>
      </c>
      <c r="F1" s="178"/>
    </row>
    <row r="2" spans="1:6" ht="15.75" customHeight="1">
      <c r="A2" s="173" t="s">
        <v>56</v>
      </c>
      <c r="C2" s="179" t="s">
        <v>95</v>
      </c>
      <c r="E2" s="165" t="s">
        <v>77</v>
      </c>
      <c r="F2" s="166" t="s">
        <v>76</v>
      </c>
    </row>
    <row r="3" spans="1:6" ht="15.75" customHeight="1">
      <c r="A3" s="173"/>
      <c r="C3" s="179"/>
      <c r="E3" s="167"/>
      <c r="F3" s="168" t="s">
        <v>90</v>
      </c>
    </row>
    <row r="4" spans="1:6" ht="15.75" customHeight="1">
      <c r="A4" s="173"/>
      <c r="C4" s="179"/>
      <c r="E4" s="167"/>
      <c r="F4" s="168" t="s">
        <v>91</v>
      </c>
    </row>
    <row r="5" spans="1:6" ht="15.75" customHeight="1">
      <c r="A5" s="173"/>
      <c r="C5" s="179"/>
      <c r="E5" s="108"/>
      <c r="F5" s="169" t="s">
        <v>99</v>
      </c>
    </row>
    <row r="6" spans="1:6" ht="15.75" customHeight="1">
      <c r="A6" s="173"/>
      <c r="C6" s="179"/>
    </row>
    <row r="7" spans="1:6" ht="15.75" customHeight="1">
      <c r="A7" s="173"/>
      <c r="C7" s="179"/>
    </row>
    <row r="8" spans="1:6" ht="15.75" customHeight="1">
      <c r="A8" s="173"/>
      <c r="C8" s="179"/>
    </row>
    <row r="9" spans="1:6" ht="15.75" customHeight="1">
      <c r="A9" s="173"/>
      <c r="C9" s="179"/>
    </row>
    <row r="10" spans="1:6" ht="15.75" customHeight="1">
      <c r="C10" s="179"/>
    </row>
    <row r="11" spans="1:6">
      <c r="A11" s="112" t="s">
        <v>69</v>
      </c>
      <c r="C11" s="179"/>
    </row>
    <row r="12" spans="1:6">
      <c r="A12" s="100" t="s">
        <v>51</v>
      </c>
      <c r="C12" s="179"/>
    </row>
    <row r="13" spans="1:6">
      <c r="A13" s="101" t="s">
        <v>53</v>
      </c>
      <c r="C13" s="179"/>
    </row>
    <row r="14" spans="1:6">
      <c r="C14" s="179"/>
    </row>
    <row r="15" spans="1:6">
      <c r="A15" s="174" t="s">
        <v>57</v>
      </c>
      <c r="C15" s="179"/>
    </row>
    <row r="16" spans="1:6">
      <c r="A16" s="175"/>
      <c r="C16" s="179"/>
    </row>
    <row r="17" spans="1:3">
      <c r="A17" s="175"/>
      <c r="C17" s="179"/>
    </row>
    <row r="18" spans="1:3">
      <c r="A18" s="176"/>
      <c r="C18" s="179"/>
    </row>
    <row r="19" spans="1:3">
      <c r="C19" s="179"/>
    </row>
    <row r="20" spans="1:3">
      <c r="A20" s="177" t="s">
        <v>74</v>
      </c>
      <c r="C20" s="179"/>
    </row>
    <row r="21" spans="1:3" ht="31.5" customHeight="1">
      <c r="A21" s="177"/>
      <c r="C21" s="179"/>
    </row>
    <row r="22" spans="1:3">
      <c r="C22" s="179"/>
    </row>
    <row r="23" spans="1:3">
      <c r="C23" s="179"/>
    </row>
  </sheetData>
  <sheetProtection sheet="1" objects="1" scenarios="1"/>
  <mergeCells count="5">
    <mergeCell ref="A2:A9"/>
    <mergeCell ref="A15:A18"/>
    <mergeCell ref="A20:A21"/>
    <mergeCell ref="E1:F1"/>
    <mergeCell ref="C2:C23"/>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2:N43"/>
  <sheetViews>
    <sheetView tabSelected="1" workbookViewId="0">
      <selection activeCell="P2" sqref="P2"/>
    </sheetView>
  </sheetViews>
  <sheetFormatPr baseColWidth="10" defaultColWidth="10.875" defaultRowHeight="15.75"/>
  <cols>
    <col min="1" max="2" width="8.375" style="111" customWidth="1"/>
    <col min="3" max="3" width="2" style="111" customWidth="1"/>
    <col min="4" max="4" width="5.125" style="111" bestFit="1" customWidth="1"/>
    <col min="5" max="5" width="7.125" style="111" bestFit="1" customWidth="1"/>
    <col min="6" max="6" width="6.875" style="111" bestFit="1" customWidth="1"/>
    <col min="7" max="7" width="7.5" style="111" bestFit="1" customWidth="1"/>
    <col min="8" max="8" width="6.125" style="111" bestFit="1" customWidth="1"/>
    <col min="9" max="9" width="7.5" style="111" bestFit="1" customWidth="1"/>
    <col min="10" max="10" width="6.125" style="111" bestFit="1" customWidth="1"/>
    <col min="11" max="11" width="7.5" style="111" bestFit="1" customWidth="1"/>
    <col min="12" max="12" width="6.125" style="111" bestFit="1" customWidth="1"/>
    <col min="13" max="13" width="7.5" style="111" bestFit="1" customWidth="1"/>
    <col min="14" max="14" width="9.625" style="111" bestFit="1" customWidth="1"/>
    <col min="15" max="16384" width="10.875" style="111"/>
  </cols>
  <sheetData>
    <row r="2" spans="1:14">
      <c r="D2" s="158" t="s">
        <v>64</v>
      </c>
      <c r="E2" s="158" t="s">
        <v>61</v>
      </c>
      <c r="F2" s="158" t="s">
        <v>62</v>
      </c>
      <c r="G2" s="158" t="s">
        <v>63</v>
      </c>
      <c r="H2" s="158" t="s">
        <v>65</v>
      </c>
      <c r="I2" s="158" t="s">
        <v>63</v>
      </c>
      <c r="J2" s="158" t="s">
        <v>66</v>
      </c>
      <c r="K2" s="158" t="s">
        <v>63</v>
      </c>
      <c r="L2" s="158" t="s">
        <v>78</v>
      </c>
      <c r="M2" s="158" t="s">
        <v>63</v>
      </c>
      <c r="N2" s="158" t="s">
        <v>68</v>
      </c>
    </row>
    <row r="3" spans="1:14">
      <c r="A3" s="187" t="s">
        <v>79</v>
      </c>
      <c r="B3" s="187"/>
      <c r="E3" s="159">
        <v>0</v>
      </c>
      <c r="F3" s="160">
        <v>60</v>
      </c>
      <c r="G3" s="160">
        <v>60</v>
      </c>
      <c r="H3" s="160">
        <v>9</v>
      </c>
      <c r="I3" s="160">
        <v>9</v>
      </c>
      <c r="J3" s="160">
        <v>6</v>
      </c>
      <c r="K3" s="160">
        <v>6</v>
      </c>
      <c r="L3" s="160">
        <v>3</v>
      </c>
      <c r="M3" s="160">
        <v>3</v>
      </c>
      <c r="N3" s="161">
        <v>0</v>
      </c>
    </row>
    <row r="4" spans="1:14">
      <c r="A4" s="187" t="s">
        <v>81</v>
      </c>
      <c r="B4" s="187"/>
      <c r="D4" s="111">
        <v>0</v>
      </c>
      <c r="E4" s="162">
        <v>60</v>
      </c>
      <c r="F4" s="163">
        <v>60</v>
      </c>
      <c r="G4" s="163">
        <v>9</v>
      </c>
      <c r="H4" s="163">
        <v>9</v>
      </c>
      <c r="I4" s="163">
        <v>6</v>
      </c>
      <c r="J4" s="163">
        <v>6</v>
      </c>
      <c r="K4" s="163">
        <v>3</v>
      </c>
      <c r="L4" s="163">
        <v>3</v>
      </c>
      <c r="M4" s="163">
        <v>0</v>
      </c>
      <c r="N4" s="164"/>
    </row>
    <row r="5" spans="1:14">
      <c r="A5" s="187" t="s">
        <v>80</v>
      </c>
      <c r="B5" s="187"/>
      <c r="E5" s="162">
        <v>20</v>
      </c>
      <c r="F5" s="163"/>
      <c r="G5" s="163">
        <v>15</v>
      </c>
      <c r="H5" s="163"/>
      <c r="I5" s="163">
        <v>6</v>
      </c>
      <c r="J5" s="163"/>
      <c r="K5" s="163">
        <v>6</v>
      </c>
      <c r="L5" s="163"/>
      <c r="M5" s="163">
        <v>6</v>
      </c>
      <c r="N5" s="164"/>
    </row>
    <row r="6" spans="1:14">
      <c r="A6" s="187" t="s">
        <v>82</v>
      </c>
      <c r="B6" s="187"/>
      <c r="E6" s="132"/>
      <c r="F6" s="134">
        <v>17</v>
      </c>
      <c r="G6" s="134"/>
      <c r="H6" s="134">
        <v>3</v>
      </c>
      <c r="I6" s="134"/>
      <c r="J6" s="134">
        <v>5</v>
      </c>
      <c r="K6" s="134"/>
      <c r="L6" s="134">
        <v>26</v>
      </c>
      <c r="M6" s="134"/>
      <c r="N6" s="135">
        <v>210</v>
      </c>
    </row>
    <row r="7" spans="1:14">
      <c r="A7" s="116"/>
      <c r="B7" s="116"/>
    </row>
    <row r="8" spans="1:14">
      <c r="A8" s="187" t="s">
        <v>83</v>
      </c>
      <c r="B8" s="187"/>
      <c r="E8" s="170">
        <f t="shared" ref="E8:M8" si="0">IF(E5=0,E6,ABS(E4-E3)/E5)</f>
        <v>3</v>
      </c>
      <c r="F8" s="171">
        <f t="shared" si="0"/>
        <v>17</v>
      </c>
      <c r="G8" s="171">
        <f t="shared" si="0"/>
        <v>3.4</v>
      </c>
      <c r="H8" s="171">
        <f t="shared" si="0"/>
        <v>3</v>
      </c>
      <c r="I8" s="171">
        <f t="shared" si="0"/>
        <v>0.5</v>
      </c>
      <c r="J8" s="171">
        <f t="shared" si="0"/>
        <v>5</v>
      </c>
      <c r="K8" s="171">
        <f t="shared" si="0"/>
        <v>0.5</v>
      </c>
      <c r="L8" s="171">
        <f t="shared" si="0"/>
        <v>26</v>
      </c>
      <c r="M8" s="171">
        <f t="shared" si="0"/>
        <v>0.5</v>
      </c>
      <c r="N8" s="172">
        <f t="shared" ref="N8" si="1">IF(N5=0,N6,ABS(N4-N3)/N5)</f>
        <v>210</v>
      </c>
    </row>
    <row r="9" spans="1:14">
      <c r="A9" s="187" t="s">
        <v>84</v>
      </c>
      <c r="B9" s="187"/>
      <c r="E9" s="120">
        <f t="shared" ref="E9:M9" si="2">pctN2*E5*msw*SIGN(E4-E3)</f>
        <v>1.6</v>
      </c>
      <c r="F9" s="121">
        <f t="shared" si="2"/>
        <v>0</v>
      </c>
      <c r="G9" s="121">
        <f t="shared" si="2"/>
        <v>-1.2000000000000002</v>
      </c>
      <c r="H9" s="121">
        <f t="shared" si="2"/>
        <v>0</v>
      </c>
      <c r="I9" s="121">
        <f t="shared" si="2"/>
        <v>-0.48000000000000009</v>
      </c>
      <c r="J9" s="121">
        <f t="shared" si="2"/>
        <v>0</v>
      </c>
      <c r="K9" s="121">
        <f t="shared" si="2"/>
        <v>-0.48000000000000009</v>
      </c>
      <c r="L9" s="121">
        <f t="shared" si="2"/>
        <v>0</v>
      </c>
      <c r="M9" s="121">
        <f t="shared" si="2"/>
        <v>-0.48000000000000009</v>
      </c>
      <c r="N9" s="122">
        <f t="shared" ref="N9" si="3">pctN2*N5*msw*SIGN(N4-N3)</f>
        <v>0</v>
      </c>
    </row>
    <row r="10" spans="1:14">
      <c r="A10" s="187" t="s">
        <v>85</v>
      </c>
      <c r="B10" s="187"/>
      <c r="E10" s="120">
        <f t="shared" ref="E10:N10" si="4">Patm+E$3*msw</f>
        <v>1</v>
      </c>
      <c r="F10" s="121">
        <f t="shared" si="4"/>
        <v>7</v>
      </c>
      <c r="G10" s="121">
        <f t="shared" si="4"/>
        <v>7</v>
      </c>
      <c r="H10" s="121">
        <f t="shared" si="4"/>
        <v>1.9</v>
      </c>
      <c r="I10" s="121">
        <f t="shared" si="4"/>
        <v>1.9</v>
      </c>
      <c r="J10" s="121">
        <f t="shared" si="4"/>
        <v>1.6</v>
      </c>
      <c r="K10" s="121">
        <f t="shared" si="4"/>
        <v>1.6</v>
      </c>
      <c r="L10" s="121">
        <f t="shared" si="4"/>
        <v>1.3</v>
      </c>
      <c r="M10" s="121">
        <f t="shared" si="4"/>
        <v>1.3</v>
      </c>
      <c r="N10" s="122">
        <f t="shared" si="4"/>
        <v>1</v>
      </c>
    </row>
    <row r="11" spans="1:14">
      <c r="A11" s="187" t="s">
        <v>86</v>
      </c>
      <c r="B11" s="187"/>
      <c r="E11" s="120">
        <f t="shared" ref="E11:N11" si="5">pctN2*(Patm+E$3*msw)</f>
        <v>0.8</v>
      </c>
      <c r="F11" s="121">
        <f t="shared" si="5"/>
        <v>5.6000000000000005</v>
      </c>
      <c r="G11" s="121">
        <f t="shared" si="5"/>
        <v>5.6000000000000005</v>
      </c>
      <c r="H11" s="121">
        <f t="shared" si="5"/>
        <v>1.52</v>
      </c>
      <c r="I11" s="121">
        <f t="shared" si="5"/>
        <v>1.52</v>
      </c>
      <c r="J11" s="121">
        <f t="shared" si="5"/>
        <v>1.2800000000000002</v>
      </c>
      <c r="K11" s="121">
        <f t="shared" si="5"/>
        <v>1.2800000000000002</v>
      </c>
      <c r="L11" s="121">
        <f t="shared" si="5"/>
        <v>1.04</v>
      </c>
      <c r="M11" s="121">
        <f t="shared" si="5"/>
        <v>1.04</v>
      </c>
      <c r="N11" s="122">
        <f t="shared" si="5"/>
        <v>0.8</v>
      </c>
    </row>
    <row r="12" spans="1:14">
      <c r="A12" s="187" t="s">
        <v>87</v>
      </c>
      <c r="B12" s="187"/>
      <c r="E12" s="120">
        <f t="shared" ref="E12:M12" si="6">IF(E4&lt;&gt;"",pctN2*(Patm+E$4*msw),"")</f>
        <v>5.6000000000000005</v>
      </c>
      <c r="F12" s="121">
        <f t="shared" si="6"/>
        <v>5.6000000000000005</v>
      </c>
      <c r="G12" s="121">
        <f t="shared" si="6"/>
        <v>1.52</v>
      </c>
      <c r="H12" s="121">
        <f t="shared" si="6"/>
        <v>1.52</v>
      </c>
      <c r="I12" s="121">
        <f t="shared" si="6"/>
        <v>1.2800000000000002</v>
      </c>
      <c r="J12" s="121">
        <f t="shared" si="6"/>
        <v>1.2800000000000002</v>
      </c>
      <c r="K12" s="121">
        <f t="shared" si="6"/>
        <v>1.04</v>
      </c>
      <c r="L12" s="121">
        <f t="shared" si="6"/>
        <v>1.04</v>
      </c>
      <c r="M12" s="121">
        <f t="shared" si="6"/>
        <v>0.8</v>
      </c>
      <c r="N12" s="122" t="str">
        <f t="shared" ref="N12" si="7">IF(N4&lt;&gt;"",pctN2*(Patm+N$4*msw),"")</f>
        <v/>
      </c>
    </row>
    <row r="13" spans="1:14">
      <c r="A13" s="187" t="s">
        <v>88</v>
      </c>
      <c r="B13" s="187"/>
      <c r="D13" s="111">
        <v>0</v>
      </c>
      <c r="E13" s="123">
        <f>SUM($E8:E8)</f>
        <v>3</v>
      </c>
      <c r="F13" s="124">
        <f>SUM($E8:F8)</f>
        <v>20</v>
      </c>
      <c r="G13" s="124">
        <f>SUM($E8:G8)</f>
        <v>23.4</v>
      </c>
      <c r="H13" s="124">
        <f>SUM($E8:H8)</f>
        <v>26.4</v>
      </c>
      <c r="I13" s="124">
        <f>SUM($E8:I8)</f>
        <v>26.9</v>
      </c>
      <c r="J13" s="124">
        <f>SUM($E8:J8)</f>
        <v>31.9</v>
      </c>
      <c r="K13" s="124">
        <f>SUM($E8:K8)</f>
        <v>32.4</v>
      </c>
      <c r="L13" s="124">
        <f>SUM($E8:L8)</f>
        <v>58.4</v>
      </c>
      <c r="M13" s="124">
        <f>SUM($E8:M8)</f>
        <v>58.9</v>
      </c>
      <c r="N13" s="125">
        <f>SUM($E8:N8)</f>
        <v>268.89999999999998</v>
      </c>
    </row>
    <row r="15" spans="1:14" s="138" customFormat="1" ht="12.75">
      <c r="A15" s="137" t="s">
        <v>1</v>
      </c>
      <c r="B15" s="137" t="s">
        <v>2</v>
      </c>
      <c r="D15" s="149" t="s">
        <v>58</v>
      </c>
      <c r="E15" s="150" t="s">
        <v>59</v>
      </c>
      <c r="F15" s="150" t="s">
        <v>59</v>
      </c>
      <c r="G15" s="150" t="s">
        <v>59</v>
      </c>
      <c r="H15" s="150" t="s">
        <v>59</v>
      </c>
      <c r="I15" s="150" t="s">
        <v>59</v>
      </c>
      <c r="J15" s="150" t="s">
        <v>59</v>
      </c>
      <c r="K15" s="150" t="s">
        <v>59</v>
      </c>
      <c r="L15" s="150" t="s">
        <v>59</v>
      </c>
      <c r="M15" s="150" t="s">
        <v>59</v>
      </c>
      <c r="N15" s="151" t="s">
        <v>59</v>
      </c>
    </row>
    <row r="16" spans="1:14" s="138" customFormat="1" ht="12.75">
      <c r="A16" s="139">
        <v>5</v>
      </c>
      <c r="B16" s="140">
        <v>2.72</v>
      </c>
      <c r="D16" s="152">
        <f t="shared" ref="D16:D27" si="8">Patm*pctN2</f>
        <v>0.8</v>
      </c>
      <c r="E16" s="153">
        <f t="shared" ref="E16:N16" si="9">calc_schreiner(E$10,D16,E$8,$A16,E$9)</f>
        <v>1.6559630084337231</v>
      </c>
      <c r="F16" s="153">
        <f t="shared" si="9"/>
        <v>5.1809641334955829</v>
      </c>
      <c r="G16" s="153">
        <f t="shared" si="9"/>
        <v>4.4928898620071136</v>
      </c>
      <c r="H16" s="153">
        <f t="shared" si="9"/>
        <v>3.4643091037896467</v>
      </c>
      <c r="I16" s="153">
        <f t="shared" si="9"/>
        <v>3.3226166048678305</v>
      </c>
      <c r="J16" s="153">
        <f t="shared" si="9"/>
        <v>2.2762283024339154</v>
      </c>
      <c r="K16" s="153">
        <f t="shared" si="9"/>
        <v>2.1980259385602787</v>
      </c>
      <c r="L16" s="153">
        <f t="shared" si="9"/>
        <v>1.0227083421681284</v>
      </c>
      <c r="M16" s="153">
        <f t="shared" si="9"/>
        <v>1.0123783780512257</v>
      </c>
      <c r="N16" s="154">
        <f t="shared" si="9"/>
        <v>0.74984000000005979</v>
      </c>
    </row>
    <row r="17" spans="1:14" s="138" customFormat="1" ht="12.75">
      <c r="A17" s="139">
        <v>7</v>
      </c>
      <c r="B17" s="140">
        <v>2.54</v>
      </c>
      <c r="D17" s="152">
        <f t="shared" si="8"/>
        <v>0.8</v>
      </c>
      <c r="E17" s="153">
        <f t="shared" ref="E17:E27" si="10">calc_schreiner(E$10,D17,E$8,$A17,E$9)</f>
        <v>1.4344091924874613</v>
      </c>
      <c r="F17" s="153">
        <f t="shared" ref="F17:N27" si="11">calc_schreiner(F$10,E17,F$8,$A17,F$9)</f>
        <v>4.7854016653372637</v>
      </c>
      <c r="G17" s="153">
        <f t="shared" si="11"/>
        <v>4.3881140813849528</v>
      </c>
      <c r="H17" s="153">
        <f t="shared" si="11"/>
        <v>3.638109309537207</v>
      </c>
      <c r="I17" s="153">
        <f t="shared" si="11"/>
        <v>3.5275269806685734</v>
      </c>
      <c r="J17" s="153">
        <f t="shared" si="11"/>
        <v>2.6302959012614227</v>
      </c>
      <c r="K17" s="153">
        <f t="shared" si="11"/>
        <v>2.5568026815959453</v>
      </c>
      <c r="L17" s="153">
        <f t="shared" si="11"/>
        <v>1.1092243065308949</v>
      </c>
      <c r="M17" s="153">
        <f t="shared" si="11"/>
        <v>1.0976130542313172</v>
      </c>
      <c r="N17" s="154">
        <f t="shared" si="11"/>
        <v>0.74984000032388898</v>
      </c>
    </row>
    <row r="18" spans="1:14" s="138" customFormat="1" ht="12.75">
      <c r="A18" s="139">
        <v>10</v>
      </c>
      <c r="B18" s="140">
        <v>2.38</v>
      </c>
      <c r="D18" s="152">
        <f t="shared" si="8"/>
        <v>0.8</v>
      </c>
      <c r="E18" s="153">
        <f t="shared" si="10"/>
        <v>1.256781992750899</v>
      </c>
      <c r="F18" s="153">
        <f t="shared" si="11"/>
        <v>4.2284964045524029</v>
      </c>
      <c r="G18" s="153">
        <f t="shared" si="11"/>
        <v>4.0608002704254087</v>
      </c>
      <c r="H18" s="153">
        <f t="shared" si="11"/>
        <v>3.5743536885168385</v>
      </c>
      <c r="I18" s="153">
        <f t="shared" si="11"/>
        <v>3.4985549752641116</v>
      </c>
      <c r="J18" s="153">
        <f t="shared" si="11"/>
        <v>2.8340637435887239</v>
      </c>
      <c r="K18" s="153">
        <f t="shared" si="11"/>
        <v>2.7753067424622357</v>
      </c>
      <c r="L18" s="153">
        <f t="shared" si="11"/>
        <v>1.2843321863876038</v>
      </c>
      <c r="M18" s="153">
        <f t="shared" si="11"/>
        <v>1.2701894502223643</v>
      </c>
      <c r="N18" s="154">
        <f t="shared" si="11"/>
        <v>0.74984024812195316</v>
      </c>
    </row>
    <row r="19" spans="1:14" s="138" customFormat="1" ht="12.75">
      <c r="A19" s="139">
        <v>15</v>
      </c>
      <c r="B19" s="140">
        <v>2.2000000000000002</v>
      </c>
      <c r="D19" s="152">
        <f t="shared" si="8"/>
        <v>0.8</v>
      </c>
      <c r="E19" s="153">
        <f t="shared" si="10"/>
        <v>1.1113613671696976</v>
      </c>
      <c r="F19" s="153">
        <f t="shared" si="11"/>
        <v>3.5265096077317426</v>
      </c>
      <c r="G19" s="153">
        <f t="shared" si="11"/>
        <v>3.5163224868988632</v>
      </c>
      <c r="H19" s="153">
        <f t="shared" si="11"/>
        <v>3.2514064817454584</v>
      </c>
      <c r="I19" s="153">
        <f t="shared" si="11"/>
        <v>3.2079640890362606</v>
      </c>
      <c r="J19" s="153">
        <f t="shared" si="11"/>
        <v>2.7998781299298985</v>
      </c>
      <c r="K19" s="153">
        <f t="shared" si="11"/>
        <v>2.76126705145322</v>
      </c>
      <c r="L19" s="153">
        <f t="shared" si="11"/>
        <v>1.5226077731228371</v>
      </c>
      <c r="M19" s="153">
        <f t="shared" si="11"/>
        <v>1.5076879823378528</v>
      </c>
      <c r="N19" s="154">
        <f t="shared" si="11"/>
        <v>0.74988625537001585</v>
      </c>
    </row>
    <row r="20" spans="1:14" s="138" customFormat="1" ht="12.75">
      <c r="A20" s="139">
        <v>20</v>
      </c>
      <c r="B20" s="140">
        <v>2.04</v>
      </c>
      <c r="D20" s="152">
        <f t="shared" si="8"/>
        <v>0.8</v>
      </c>
      <c r="E20" s="153">
        <f t="shared" si="10"/>
        <v>1.0361517509986584</v>
      </c>
      <c r="F20" s="153">
        <f t="shared" si="11"/>
        <v>3.0457146562383728</v>
      </c>
      <c r="G20" s="153">
        <f t="shared" si="11"/>
        <v>3.0928532188218187</v>
      </c>
      <c r="H20" s="153">
        <f t="shared" si="11"/>
        <v>2.9325814142866569</v>
      </c>
      <c r="I20" s="153">
        <f t="shared" si="11"/>
        <v>2.9053849102345257</v>
      </c>
      <c r="J20" s="153">
        <f t="shared" si="11"/>
        <v>2.6387997086128196</v>
      </c>
      <c r="K20" s="153">
        <f t="shared" si="11"/>
        <v>2.6125271420733807</v>
      </c>
      <c r="L20" s="153">
        <f t="shared" si="11"/>
        <v>1.6488557598427773</v>
      </c>
      <c r="M20" s="153">
        <f t="shared" si="11"/>
        <v>1.6354667814678185</v>
      </c>
      <c r="N20" s="154">
        <f t="shared" si="11"/>
        <v>0.75045155537380503</v>
      </c>
    </row>
    <row r="21" spans="1:14" s="138" customFormat="1" ht="12.75">
      <c r="A21" s="139">
        <v>30</v>
      </c>
      <c r="B21" s="140">
        <v>1.82</v>
      </c>
      <c r="D21" s="152">
        <f t="shared" si="8"/>
        <v>0.8</v>
      </c>
      <c r="E21" s="153">
        <f t="shared" si="10"/>
        <v>0.95921832623066072</v>
      </c>
      <c r="F21" s="153">
        <f t="shared" si="11"/>
        <v>2.4503671349735234</v>
      </c>
      <c r="G21" s="153">
        <f t="shared" si="11"/>
        <v>2.5283929829116203</v>
      </c>
      <c r="H21" s="153">
        <f t="shared" si="11"/>
        <v>2.4575048563462403</v>
      </c>
      <c r="I21" s="153">
        <f t="shared" si="11"/>
        <v>2.4447795865315349</v>
      </c>
      <c r="J21" s="153">
        <f t="shared" si="11"/>
        <v>2.3122281202588981</v>
      </c>
      <c r="K21" s="153">
        <f t="shared" si="11"/>
        <v>2.2984148609627848</v>
      </c>
      <c r="L21" s="153">
        <f t="shared" si="11"/>
        <v>1.7074787976522023</v>
      </c>
      <c r="M21" s="153">
        <f t="shared" si="11"/>
        <v>1.6978550416518445</v>
      </c>
      <c r="N21" s="154">
        <f t="shared" si="11"/>
        <v>0.75724636751290508</v>
      </c>
    </row>
    <row r="22" spans="1:14" s="138" customFormat="1" ht="12.75">
      <c r="A22" s="139">
        <v>40</v>
      </c>
      <c r="B22" s="140">
        <v>1.68</v>
      </c>
      <c r="D22" s="152">
        <f t="shared" si="8"/>
        <v>0.8</v>
      </c>
      <c r="E22" s="153">
        <f t="shared" si="10"/>
        <v>0.92009126404198804</v>
      </c>
      <c r="F22" s="153">
        <f t="shared" si="11"/>
        <v>2.1014238240612655</v>
      </c>
      <c r="G22" s="153">
        <f t="shared" si="11"/>
        <v>2.1808609379746402</v>
      </c>
      <c r="H22" s="153">
        <f t="shared" si="11"/>
        <v>2.1448421252970724</v>
      </c>
      <c r="I22" s="153">
        <f t="shared" si="11"/>
        <v>2.1379822165669826</v>
      </c>
      <c r="J22" s="153">
        <f t="shared" si="11"/>
        <v>2.0626100843967752</v>
      </c>
      <c r="K22" s="153">
        <f t="shared" si="11"/>
        <v>2.0543891252823379</v>
      </c>
      <c r="L22" s="153">
        <f t="shared" si="11"/>
        <v>1.6682562004660142</v>
      </c>
      <c r="M22" s="153">
        <f t="shared" si="11"/>
        <v>1.661366838808046</v>
      </c>
      <c r="N22" s="154">
        <f t="shared" si="11"/>
        <v>0.7737931140987887</v>
      </c>
    </row>
    <row r="23" spans="1:14" s="138" customFormat="1" ht="12.75">
      <c r="A23" s="139">
        <v>50</v>
      </c>
      <c r="B23" s="140">
        <v>1.61</v>
      </c>
      <c r="D23" s="152">
        <f t="shared" si="8"/>
        <v>0.8</v>
      </c>
      <c r="E23" s="153">
        <f t="shared" si="10"/>
        <v>0.8964004453704999</v>
      </c>
      <c r="F23" s="153">
        <f t="shared" si="11"/>
        <v>1.8734305095835806</v>
      </c>
      <c r="G23" s="153">
        <f t="shared" si="11"/>
        <v>1.9480337412137907</v>
      </c>
      <c r="H23" s="153">
        <f t="shared" si="11"/>
        <v>1.9285540980323004</v>
      </c>
      <c r="I23" s="153">
        <f t="shared" si="11"/>
        <v>1.9245556701767941</v>
      </c>
      <c r="J23" s="153">
        <f t="shared" si="11"/>
        <v>1.8780326400125522</v>
      </c>
      <c r="K23" s="153">
        <f t="shared" si="11"/>
        <v>1.8727253882637336</v>
      </c>
      <c r="L23" s="153">
        <f t="shared" si="11"/>
        <v>1.6055394016970805</v>
      </c>
      <c r="M23" s="153">
        <f t="shared" si="11"/>
        <v>1.6004565971401914</v>
      </c>
      <c r="N23" s="154">
        <f t="shared" si="11"/>
        <v>0.79612154736183915</v>
      </c>
    </row>
    <row r="24" spans="1:14" s="138" customFormat="1" ht="12.75">
      <c r="A24" s="139">
        <v>60</v>
      </c>
      <c r="B24" s="140">
        <v>1.58</v>
      </c>
      <c r="D24" s="152">
        <f t="shared" si="8"/>
        <v>0.8</v>
      </c>
      <c r="E24" s="153">
        <f t="shared" si="10"/>
        <v>0.88051639013745453</v>
      </c>
      <c r="F24" s="153">
        <f t="shared" si="11"/>
        <v>1.7131020141091871</v>
      </c>
      <c r="G24" s="153">
        <f t="shared" si="11"/>
        <v>1.7817925102384491</v>
      </c>
      <c r="H24" s="153">
        <f t="shared" si="11"/>
        <v>1.7711662625386178</v>
      </c>
      <c r="I24" s="153">
        <f t="shared" si="11"/>
        <v>1.768738936459898</v>
      </c>
      <c r="J24" s="153">
        <f t="shared" si="11"/>
        <v>1.738492863255982</v>
      </c>
      <c r="K24" s="153">
        <f t="shared" si="11"/>
        <v>1.7348714238257816</v>
      </c>
      <c r="L24" s="153">
        <f t="shared" si="11"/>
        <v>1.5415721091024697</v>
      </c>
      <c r="M24" s="153">
        <f t="shared" si="11"/>
        <v>1.537702551473934</v>
      </c>
      <c r="N24" s="154">
        <f t="shared" si="11"/>
        <v>0.8194778690987693</v>
      </c>
    </row>
    <row r="25" spans="1:14" s="138" customFormat="1" ht="12.75">
      <c r="A25" s="139">
        <v>80</v>
      </c>
      <c r="B25" s="140">
        <v>1.56</v>
      </c>
      <c r="D25" s="152">
        <f t="shared" si="8"/>
        <v>0.8</v>
      </c>
      <c r="E25" s="153">
        <f t="shared" si="10"/>
        <v>0.86055922006118857</v>
      </c>
      <c r="F25" s="153">
        <f t="shared" si="11"/>
        <v>1.5028012412483529</v>
      </c>
      <c r="G25" s="153">
        <f t="shared" si="11"/>
        <v>1.5607729708821443</v>
      </c>
      <c r="H25" s="153">
        <f t="shared" si="11"/>
        <v>1.5584398028218982</v>
      </c>
      <c r="I25" s="153">
        <f t="shared" si="11"/>
        <v>1.5575376931427207</v>
      </c>
      <c r="J25" s="153">
        <f t="shared" si="11"/>
        <v>1.5436443860308238</v>
      </c>
      <c r="K25" s="153">
        <f t="shared" si="11"/>
        <v>1.5417687620769283</v>
      </c>
      <c r="L25" s="153">
        <f t="shared" si="11"/>
        <v>1.4304438401498352</v>
      </c>
      <c r="M25" s="153">
        <f t="shared" si="11"/>
        <v>1.4280200875706142</v>
      </c>
      <c r="N25" s="154">
        <f t="shared" si="11"/>
        <v>0.85977634534228231</v>
      </c>
    </row>
    <row r="26" spans="1:14" s="138" customFormat="1" ht="12.75">
      <c r="A26" s="139">
        <v>100</v>
      </c>
      <c r="B26" s="140">
        <v>1.55</v>
      </c>
      <c r="D26" s="152">
        <f t="shared" si="8"/>
        <v>0.8</v>
      </c>
      <c r="E26" s="153">
        <f t="shared" si="10"/>
        <v>0.84853018383715439</v>
      </c>
      <c r="F26" s="153">
        <f t="shared" si="11"/>
        <v>1.3711151780071014</v>
      </c>
      <c r="G26" s="153">
        <f t="shared" si="11"/>
        <v>1.420742597517789</v>
      </c>
      <c r="H26" s="153">
        <f t="shared" si="11"/>
        <v>1.4217530074501277</v>
      </c>
      <c r="I26" s="153">
        <f t="shared" si="11"/>
        <v>1.4215039675344374</v>
      </c>
      <c r="J26" s="153">
        <f t="shared" si="11"/>
        <v>1.4149751891873852</v>
      </c>
      <c r="K26" s="153">
        <f t="shared" si="11"/>
        <v>1.4139192618201728</v>
      </c>
      <c r="L26" s="153">
        <f t="shared" si="11"/>
        <v>1.3439834684261269</v>
      </c>
      <c r="M26" s="153">
        <f t="shared" si="11"/>
        <v>1.3423428168328342</v>
      </c>
      <c r="N26" s="154">
        <f t="shared" si="11"/>
        <v>0.88804616892088117</v>
      </c>
    </row>
    <row r="27" spans="1:14" s="138" customFormat="1" ht="12.75">
      <c r="A27" s="144">
        <v>120</v>
      </c>
      <c r="B27" s="145">
        <v>1.54</v>
      </c>
      <c r="D27" s="155">
        <f t="shared" si="8"/>
        <v>0.8</v>
      </c>
      <c r="E27" s="156">
        <f t="shared" si="10"/>
        <v>0.84048792265529604</v>
      </c>
      <c r="F27" s="156">
        <f t="shared" si="11"/>
        <v>1.2809472486798628</v>
      </c>
      <c r="G27" s="156">
        <f t="shared" si="11"/>
        <v>1.3241639572718025</v>
      </c>
      <c r="H27" s="156">
        <f t="shared" si="11"/>
        <v>1.3266665844921692</v>
      </c>
      <c r="I27" s="156">
        <f t="shared" si="11"/>
        <v>1.3267332488032813</v>
      </c>
      <c r="J27" s="156">
        <f t="shared" si="11"/>
        <v>1.3239748860945311</v>
      </c>
      <c r="K27" s="156">
        <f t="shared" si="11"/>
        <v>1.3233571659205625</v>
      </c>
      <c r="L27" s="156">
        <f t="shared" si="11"/>
        <v>1.2768486764785958</v>
      </c>
      <c r="M27" s="156">
        <f t="shared" si="11"/>
        <v>1.2756747185800041</v>
      </c>
      <c r="N27" s="157">
        <f t="shared" si="11"/>
        <v>0.90617159716269868</v>
      </c>
    </row>
    <row r="28" spans="1:14" s="138" customFormat="1" ht="12.75"/>
    <row r="29" spans="1:14" s="138" customFormat="1" ht="12.75">
      <c r="A29" s="137" t="s">
        <v>1</v>
      </c>
      <c r="B29" s="137" t="s">
        <v>2</v>
      </c>
      <c r="E29" s="184" t="s">
        <v>73</v>
      </c>
      <c r="F29" s="185"/>
      <c r="G29" s="185"/>
      <c r="H29" s="185"/>
      <c r="I29" s="185"/>
      <c r="J29" s="185"/>
      <c r="K29" s="185"/>
      <c r="L29" s="185"/>
      <c r="M29" s="185"/>
      <c r="N29" s="186"/>
    </row>
    <row r="30" spans="1:14" s="138" customFormat="1" ht="12.75">
      <c r="A30" s="139">
        <v>5</v>
      </c>
      <c r="B30" s="140">
        <v>2.72</v>
      </c>
      <c r="E30" s="141" t="str">
        <f t="shared" ref="E30:H41" si="12">IF(E16/$B16&gt;Patm,(E16/$B16-Patm)/msw,"")</f>
        <v/>
      </c>
      <c r="F30" s="142">
        <f t="shared" si="12"/>
        <v>9.047662255498464</v>
      </c>
      <c r="G30" s="142">
        <f t="shared" si="12"/>
        <v>6.5179774338496816</v>
      </c>
      <c r="H30" s="142">
        <f t="shared" si="12"/>
        <v>2.7364305286384072</v>
      </c>
      <c r="I30" s="142">
        <f t="shared" ref="I30:N30" si="13">IF(I16/$B16&gt;Patm,(I16/$B16-Patm)/msw,"")</f>
        <v>2.2155022237787869</v>
      </c>
      <c r="J30" s="142" t="str">
        <f t="shared" si="13"/>
        <v/>
      </c>
      <c r="K30" s="142" t="str">
        <f t="shared" si="13"/>
        <v/>
      </c>
      <c r="L30" s="142" t="str">
        <f t="shared" si="13"/>
        <v/>
      </c>
      <c r="M30" s="142" t="str">
        <f t="shared" si="13"/>
        <v/>
      </c>
      <c r="N30" s="143" t="str">
        <f t="shared" si="13"/>
        <v/>
      </c>
    </row>
    <row r="31" spans="1:14" s="138" customFormat="1" ht="12.75">
      <c r="A31" s="139">
        <v>7</v>
      </c>
      <c r="B31" s="140">
        <v>2.54</v>
      </c>
      <c r="E31" s="141" t="str">
        <f t="shared" si="12"/>
        <v/>
      </c>
      <c r="F31" s="142">
        <f t="shared" si="12"/>
        <v>8.8401640367608803</v>
      </c>
      <c r="G31" s="142">
        <f t="shared" si="12"/>
        <v>7.27603969049194</v>
      </c>
      <c r="H31" s="142">
        <f t="shared" si="12"/>
        <v>4.3232649981779803</v>
      </c>
      <c r="I31" s="142">
        <f t="shared" ref="I31:N31" si="14">IF(I17/$B17&gt;Patm,(I17/$B17-Patm)/msw,"")</f>
        <v>3.8879014986951699</v>
      </c>
      <c r="J31" s="142">
        <f t="shared" si="14"/>
        <v>0.35549567425756878</v>
      </c>
      <c r="K31" s="142">
        <f t="shared" si="14"/>
        <v>6.6152289747816173E-2</v>
      </c>
      <c r="L31" s="142" t="str">
        <f t="shared" si="14"/>
        <v/>
      </c>
      <c r="M31" s="142" t="str">
        <f t="shared" si="14"/>
        <v/>
      </c>
      <c r="N31" s="143" t="str">
        <f t="shared" si="14"/>
        <v/>
      </c>
    </row>
    <row r="32" spans="1:14" s="138" customFormat="1" ht="12.75">
      <c r="A32" s="139">
        <v>10</v>
      </c>
      <c r="B32" s="140">
        <v>2.38</v>
      </c>
      <c r="E32" s="141" t="str">
        <f t="shared" si="12"/>
        <v/>
      </c>
      <c r="F32" s="142">
        <f t="shared" si="12"/>
        <v>7.7667916157663992</v>
      </c>
      <c r="G32" s="142">
        <f t="shared" si="12"/>
        <v>7.0621860101907936</v>
      </c>
      <c r="H32" s="142">
        <f t="shared" si="12"/>
        <v>5.0182928088942802</v>
      </c>
      <c r="I32" s="142">
        <f t="shared" ref="I32:N32" si="15">IF(I18/$B18&gt;Patm,(I18/$B18-Patm)/msw,"")</f>
        <v>4.6998108204374445</v>
      </c>
      <c r="J32" s="142">
        <f t="shared" si="15"/>
        <v>1.9078308554148071</v>
      </c>
      <c r="K32" s="142">
        <f t="shared" si="15"/>
        <v>1.6609526994211588</v>
      </c>
      <c r="L32" s="142" t="str">
        <f t="shared" si="15"/>
        <v/>
      </c>
      <c r="M32" s="142" t="str">
        <f t="shared" si="15"/>
        <v/>
      </c>
      <c r="N32" s="143" t="str">
        <f t="shared" si="15"/>
        <v/>
      </c>
    </row>
    <row r="33" spans="1:14" s="138" customFormat="1" ht="12.75">
      <c r="A33" s="139">
        <v>15</v>
      </c>
      <c r="B33" s="140">
        <v>2.2000000000000002</v>
      </c>
      <c r="E33" s="141" t="str">
        <f t="shared" si="12"/>
        <v/>
      </c>
      <c r="F33" s="142">
        <f t="shared" si="12"/>
        <v>6.0295891260533736</v>
      </c>
      <c r="G33" s="142">
        <f t="shared" si="12"/>
        <v>5.9832840313584663</v>
      </c>
      <c r="H33" s="142">
        <f t="shared" si="12"/>
        <v>4.7791203715702641</v>
      </c>
      <c r="I33" s="142">
        <f t="shared" ref="I33:N33" si="16">IF(I19/$B19&gt;Patm,(I19/$B19-Patm)/msw,"")</f>
        <v>4.5816549501648192</v>
      </c>
      <c r="J33" s="142">
        <f t="shared" si="16"/>
        <v>2.7267187724086295</v>
      </c>
      <c r="K33" s="142">
        <f t="shared" si="16"/>
        <v>2.5512138702419085</v>
      </c>
      <c r="L33" s="142" t="str">
        <f t="shared" si="16"/>
        <v/>
      </c>
      <c r="M33" s="142" t="str">
        <f t="shared" si="16"/>
        <v/>
      </c>
      <c r="N33" s="143" t="str">
        <f t="shared" si="16"/>
        <v/>
      </c>
    </row>
    <row r="34" spans="1:14" s="138" customFormat="1" ht="12.75">
      <c r="A34" s="139">
        <v>20</v>
      </c>
      <c r="B34" s="140">
        <v>2.04</v>
      </c>
      <c r="E34" s="141" t="str">
        <f t="shared" si="12"/>
        <v/>
      </c>
      <c r="F34" s="142">
        <f t="shared" si="12"/>
        <v>4.9299738050900617</v>
      </c>
      <c r="G34" s="142">
        <f t="shared" si="12"/>
        <v>5.1610451903030325</v>
      </c>
      <c r="H34" s="142">
        <f t="shared" si="12"/>
        <v>4.3753990896404744</v>
      </c>
      <c r="I34" s="142">
        <f t="shared" ref="I34:N34" si="17">IF(I20/$B20&gt;Patm,(I20/$B20-Patm)/msw,"")</f>
        <v>4.242082893306498</v>
      </c>
      <c r="J34" s="142">
        <f t="shared" si="17"/>
        <v>2.935292689278528</v>
      </c>
      <c r="K34" s="142">
        <f t="shared" si="17"/>
        <v>2.8065055983989251</v>
      </c>
      <c r="L34" s="142" t="str">
        <f t="shared" si="17"/>
        <v/>
      </c>
      <c r="M34" s="142" t="str">
        <f t="shared" si="17"/>
        <v/>
      </c>
      <c r="N34" s="143" t="str">
        <f t="shared" si="17"/>
        <v/>
      </c>
    </row>
    <row r="35" spans="1:14" s="138" customFormat="1" ht="12.75">
      <c r="A35" s="139">
        <v>30</v>
      </c>
      <c r="B35" s="140">
        <v>1.82</v>
      </c>
      <c r="E35" s="141" t="str">
        <f t="shared" si="12"/>
        <v/>
      </c>
      <c r="F35" s="142">
        <f t="shared" si="12"/>
        <v>3.4635556866677097</v>
      </c>
      <c r="G35" s="142">
        <f t="shared" si="12"/>
        <v>3.8922691368770335</v>
      </c>
      <c r="H35" s="142">
        <f t="shared" si="12"/>
        <v>3.502773935968353</v>
      </c>
      <c r="I35" s="142">
        <f t="shared" ref="I35:N35" si="18">IF(I21/$B21&gt;Patm,(I21/$B21-Patm)/msw,"")</f>
        <v>3.4328548710523887</v>
      </c>
      <c r="J35" s="142">
        <f t="shared" si="18"/>
        <v>2.7045501113126269</v>
      </c>
      <c r="K35" s="142">
        <f t="shared" si="18"/>
        <v>2.6286530822131038</v>
      </c>
      <c r="L35" s="142" t="str">
        <f t="shared" si="18"/>
        <v/>
      </c>
      <c r="M35" s="142" t="str">
        <f t="shared" si="18"/>
        <v/>
      </c>
      <c r="N35" s="143" t="str">
        <f t="shared" si="18"/>
        <v/>
      </c>
    </row>
    <row r="36" spans="1:14" s="138" customFormat="1" ht="12.75">
      <c r="A36" s="139">
        <v>40</v>
      </c>
      <c r="B36" s="140">
        <v>1.68</v>
      </c>
      <c r="E36" s="141" t="str">
        <f t="shared" si="12"/>
        <v/>
      </c>
      <c r="F36" s="142">
        <f t="shared" si="12"/>
        <v>2.5084751432218177</v>
      </c>
      <c r="G36" s="142">
        <f t="shared" si="12"/>
        <v>2.9813151069919064</v>
      </c>
      <c r="H36" s="142">
        <f t="shared" si="12"/>
        <v>2.7669174124825746</v>
      </c>
      <c r="I36" s="142">
        <f t="shared" ref="I36:N36" si="19">IF(I22/$B22&gt;Patm,(I22/$B22-Patm)/msw,"")</f>
        <v>2.7260846224225155</v>
      </c>
      <c r="J36" s="142">
        <f t="shared" si="19"/>
        <v>2.2774409785522343</v>
      </c>
      <c r="K36" s="142">
        <f t="shared" si="19"/>
        <v>2.2285066981091539</v>
      </c>
      <c r="L36" s="142" t="str">
        <f t="shared" si="19"/>
        <v/>
      </c>
      <c r="M36" s="142" t="str">
        <f t="shared" si="19"/>
        <v/>
      </c>
      <c r="N36" s="143" t="str">
        <f t="shared" si="19"/>
        <v/>
      </c>
    </row>
    <row r="37" spans="1:14" s="138" customFormat="1" ht="12.75">
      <c r="A37" s="139">
        <v>50</v>
      </c>
      <c r="B37" s="140">
        <v>1.61</v>
      </c>
      <c r="E37" s="141" t="str">
        <f t="shared" si="12"/>
        <v/>
      </c>
      <c r="F37" s="142">
        <f t="shared" si="12"/>
        <v>1.6362143452396305</v>
      </c>
      <c r="G37" s="142">
        <f t="shared" si="12"/>
        <v>2.0995884547440413</v>
      </c>
      <c r="H37" s="142">
        <f t="shared" si="12"/>
        <v>1.9785968821881994</v>
      </c>
      <c r="I37" s="142">
        <f t="shared" ref="I37:N37" si="20">IF(I23/$B23&gt;Patm,(I23/$B23-Patm)/msw,"")</f>
        <v>1.9537619265639372</v>
      </c>
      <c r="J37" s="142">
        <f t="shared" si="20"/>
        <v>1.6647990062891438</v>
      </c>
      <c r="K37" s="142">
        <f t="shared" si="20"/>
        <v>1.6318347097126296</v>
      </c>
      <c r="L37" s="142" t="str">
        <f t="shared" si="20"/>
        <v/>
      </c>
      <c r="M37" s="142" t="str">
        <f t="shared" si="20"/>
        <v/>
      </c>
      <c r="N37" s="143" t="str">
        <f t="shared" si="20"/>
        <v/>
      </c>
    </row>
    <row r="38" spans="1:14" s="138" customFormat="1" ht="12.75">
      <c r="A38" s="139">
        <v>60</v>
      </c>
      <c r="B38" s="140">
        <v>1.58</v>
      </c>
      <c r="E38" s="141" t="str">
        <f t="shared" si="12"/>
        <v/>
      </c>
      <c r="F38" s="142">
        <f t="shared" si="12"/>
        <v>0.84241781081763945</v>
      </c>
      <c r="G38" s="142">
        <f t="shared" si="12"/>
        <v>1.2771677863192976</v>
      </c>
      <c r="H38" s="142">
        <f t="shared" si="12"/>
        <v>1.2099130540418845</v>
      </c>
      <c r="I38" s="142">
        <f t="shared" ref="I38:N38" si="21">IF(I24/$B24&gt;Patm,(I24/$B24-Patm)/msw,"")</f>
        <v>1.1945502307588485</v>
      </c>
      <c r="J38" s="142">
        <f t="shared" si="21"/>
        <v>1.0031193876960875</v>
      </c>
      <c r="K38" s="142">
        <f t="shared" si="21"/>
        <v>0.9801988849733001</v>
      </c>
      <c r="L38" s="142" t="str">
        <f t="shared" si="21"/>
        <v/>
      </c>
      <c r="M38" s="142" t="str">
        <f t="shared" si="21"/>
        <v/>
      </c>
      <c r="N38" s="143" t="str">
        <f t="shared" si="21"/>
        <v/>
      </c>
    </row>
    <row r="39" spans="1:14" s="138" customFormat="1" ht="12.75">
      <c r="A39" s="139">
        <v>80</v>
      </c>
      <c r="B39" s="140">
        <v>1.56</v>
      </c>
      <c r="E39" s="141" t="str">
        <f t="shared" si="12"/>
        <v/>
      </c>
      <c r="F39" s="142" t="str">
        <f t="shared" si="12"/>
        <v/>
      </c>
      <c r="G39" s="142">
        <f t="shared" si="12"/>
        <v>4.9549415522065487E-3</v>
      </c>
      <c r="H39" s="142" t="str">
        <f t="shared" si="12"/>
        <v/>
      </c>
      <c r="I39" s="142" t="str">
        <f t="shared" ref="I39:N39" si="22">IF(I25/$B25&gt;Patm,(I25/$B25-Patm)/msw,"")</f>
        <v/>
      </c>
      <c r="J39" s="142" t="str">
        <f t="shared" si="22"/>
        <v/>
      </c>
      <c r="K39" s="142" t="str">
        <f t="shared" si="22"/>
        <v/>
      </c>
      <c r="L39" s="142" t="str">
        <f t="shared" si="22"/>
        <v/>
      </c>
      <c r="M39" s="142" t="str">
        <f t="shared" si="22"/>
        <v/>
      </c>
      <c r="N39" s="143" t="str">
        <f t="shared" si="22"/>
        <v/>
      </c>
    </row>
    <row r="40" spans="1:14" s="138" customFormat="1" ht="12.75">
      <c r="A40" s="139">
        <v>100</v>
      </c>
      <c r="B40" s="140">
        <v>1.55</v>
      </c>
      <c r="E40" s="141" t="str">
        <f t="shared" si="12"/>
        <v/>
      </c>
      <c r="F40" s="142" t="str">
        <f t="shared" si="12"/>
        <v/>
      </c>
      <c r="G40" s="142" t="str">
        <f t="shared" si="12"/>
        <v/>
      </c>
      <c r="H40" s="142" t="str">
        <f t="shared" si="12"/>
        <v/>
      </c>
      <c r="I40" s="142" t="str">
        <f t="shared" ref="I40:N40" si="23">IF(I26/$B26&gt;Patm,(I26/$B26-Patm)/msw,"")</f>
        <v/>
      </c>
      <c r="J40" s="142" t="str">
        <f t="shared" si="23"/>
        <v/>
      </c>
      <c r="K40" s="142" t="str">
        <f t="shared" si="23"/>
        <v/>
      </c>
      <c r="L40" s="142" t="str">
        <f t="shared" si="23"/>
        <v/>
      </c>
      <c r="M40" s="142" t="str">
        <f t="shared" si="23"/>
        <v/>
      </c>
      <c r="N40" s="143" t="str">
        <f t="shared" si="23"/>
        <v/>
      </c>
    </row>
    <row r="41" spans="1:14" s="138" customFormat="1" ht="12.75">
      <c r="A41" s="144">
        <v>120</v>
      </c>
      <c r="B41" s="145">
        <v>1.54</v>
      </c>
      <c r="E41" s="146" t="str">
        <f t="shared" si="12"/>
        <v/>
      </c>
      <c r="F41" s="147" t="str">
        <f t="shared" si="12"/>
        <v/>
      </c>
      <c r="G41" s="147" t="str">
        <f t="shared" si="12"/>
        <v/>
      </c>
      <c r="H41" s="147" t="str">
        <f t="shared" si="12"/>
        <v/>
      </c>
      <c r="I41" s="147" t="str">
        <f t="shared" ref="I41:M41" si="24">IF(I27/$B27&gt;Patm,(I27/$B27-Patm)/msw,"")</f>
        <v/>
      </c>
      <c r="J41" s="147" t="str">
        <f t="shared" si="24"/>
        <v/>
      </c>
      <c r="K41" s="147" t="str">
        <f t="shared" si="24"/>
        <v/>
      </c>
      <c r="L41" s="147" t="str">
        <f t="shared" si="24"/>
        <v/>
      </c>
      <c r="M41" s="147" t="str">
        <f t="shared" si="24"/>
        <v/>
      </c>
      <c r="N41" s="148" t="str">
        <f>IF(N27/$B27&gt;Patm,(N27/$B27-Patm)/msw,"")</f>
        <v/>
      </c>
    </row>
    <row r="43" spans="1:14">
      <c r="A43" s="136" t="s">
        <v>89</v>
      </c>
      <c r="B43" s="136"/>
      <c r="C43" s="136"/>
      <c r="F43" s="117">
        <f t="shared" ref="F43:N43" si="25">INT((MAX(F30:F41)+dp-0.00001)/dp)*dp</f>
        <v>12</v>
      </c>
      <c r="G43" s="118">
        <f t="shared" si="25"/>
        <v>9</v>
      </c>
      <c r="H43" s="118">
        <f t="shared" si="25"/>
        <v>6</v>
      </c>
      <c r="I43" s="118">
        <f t="shared" si="25"/>
        <v>6</v>
      </c>
      <c r="J43" s="118">
        <f t="shared" si="25"/>
        <v>3</v>
      </c>
      <c r="K43" s="118">
        <f t="shared" si="25"/>
        <v>3</v>
      </c>
      <c r="L43" s="118">
        <f t="shared" si="25"/>
        <v>0</v>
      </c>
      <c r="M43" s="118">
        <f t="shared" si="25"/>
        <v>0</v>
      </c>
      <c r="N43" s="119">
        <f t="shared" si="25"/>
        <v>0</v>
      </c>
    </row>
  </sheetData>
  <sheetProtection sheet="1" objects="1" scenarios="1"/>
  <mergeCells count="11">
    <mergeCell ref="E29:N29"/>
    <mergeCell ref="A3:B3"/>
    <mergeCell ref="A4:B4"/>
    <mergeCell ref="A5:B5"/>
    <mergeCell ref="A6:B6"/>
    <mergeCell ref="A8:B8"/>
    <mergeCell ref="A9:B9"/>
    <mergeCell ref="A10:B10"/>
    <mergeCell ref="A11:B11"/>
    <mergeCell ref="A12:B12"/>
    <mergeCell ref="A13:B13"/>
  </mergeCell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1">
              <controlPr locked="0" defaultSize="0" autoLine="0" autoPict="0" macro="[0]!charger_profil">
                <anchor moveWithCells="1">
                  <from>
                    <xdr:col>14</xdr:col>
                    <xdr:colOff>161925</xdr:colOff>
                    <xdr:row>0</xdr:row>
                    <xdr:rowOff>0</xdr:rowOff>
                  </from>
                  <to>
                    <xdr:col>17</xdr:col>
                    <xdr:colOff>800100</xdr:colOff>
                    <xdr:row>1</xdr:row>
                    <xdr:rowOff>47625</xdr:rowOff>
                  </to>
                </anchor>
              </controlPr>
            </control>
          </mc:Choice>
        </mc:AlternateContent>
        <mc:AlternateContent xmlns:mc="http://schemas.openxmlformats.org/markup-compatibility/2006">
          <mc:Choice Requires="x14">
            <control shapeId="9219" r:id="rId5" name="Check Box 3">
              <controlPr locked="0" defaultSize="0" autoFill="0" autoLine="0" autoPict="0" macro="[0]!recalculer_tensions">
                <anchor moveWithCells="1">
                  <from>
                    <xdr:col>17</xdr:col>
                    <xdr:colOff>809625</xdr:colOff>
                    <xdr:row>0</xdr:row>
                    <xdr:rowOff>9525</xdr:rowOff>
                  </from>
                  <to>
                    <xdr:col>20</xdr:col>
                    <xdr:colOff>19050</xdr:colOff>
                    <xdr:row>1</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2:E30"/>
  <sheetViews>
    <sheetView workbookViewId="0">
      <selection activeCell="B4" sqref="B4"/>
    </sheetView>
  </sheetViews>
  <sheetFormatPr baseColWidth="10" defaultRowHeight="15.75"/>
  <cols>
    <col min="1" max="1" width="28.5" customWidth="1"/>
    <col min="2" max="2" width="6.875" style="1" bestFit="1" customWidth="1"/>
  </cols>
  <sheetData>
    <row r="2" spans="1:5" ht="15.75" customHeight="1">
      <c r="A2" s="182" t="s">
        <v>42</v>
      </c>
      <c r="B2" s="183"/>
    </row>
    <row r="3" spans="1:5" ht="15.75" customHeight="1">
      <c r="A3" s="55" t="s">
        <v>70</v>
      </c>
      <c r="B3" s="97">
        <v>30</v>
      </c>
    </row>
    <row r="4" spans="1:5" ht="15.75" customHeight="1">
      <c r="A4" s="95" t="s">
        <v>71</v>
      </c>
      <c r="B4" s="99">
        <v>40</v>
      </c>
    </row>
    <row r="5" spans="1:5" ht="15.75" customHeight="1">
      <c r="A5" s="55" t="s">
        <v>47</v>
      </c>
      <c r="B5" s="92" t="str">
        <f t="array" ref="B5:B11">calc_decov(B3,B4)</f>
        <v/>
      </c>
    </row>
    <row r="6" spans="1:5" ht="15.75" customHeight="1">
      <c r="A6" s="95" t="s">
        <v>46</v>
      </c>
      <c r="B6" s="89" t="str">
        <v/>
      </c>
    </row>
    <row r="7" spans="1:5" ht="15.75" customHeight="1">
      <c r="A7" s="95" t="s">
        <v>45</v>
      </c>
      <c r="B7" s="88" t="str">
        <v/>
      </c>
    </row>
    <row r="8" spans="1:5" ht="15" customHeight="1">
      <c r="A8" s="95" t="s">
        <v>44</v>
      </c>
      <c r="B8" s="89" t="str">
        <v/>
      </c>
      <c r="E8" s="11"/>
    </row>
    <row r="9" spans="1:5" ht="15.75" customHeight="1">
      <c r="A9" s="95" t="s">
        <v>43</v>
      </c>
      <c r="B9" s="88">
        <v>24</v>
      </c>
      <c r="D9" s="11"/>
      <c r="E9" s="11"/>
    </row>
    <row r="10" spans="1:5">
      <c r="A10" s="95" t="s">
        <v>72</v>
      </c>
      <c r="B10" s="90">
        <v>27</v>
      </c>
      <c r="D10" s="11"/>
    </row>
    <row r="11" spans="1:5">
      <c r="A11" s="96" t="s">
        <v>3</v>
      </c>
      <c r="B11" s="91" t="str">
        <v>K</v>
      </c>
    </row>
    <row r="13" spans="1:5" ht="15" customHeight="1">
      <c r="A13" s="182" t="s">
        <v>36</v>
      </c>
      <c r="B13" s="183"/>
      <c r="D13" s="115"/>
    </row>
    <row r="14" spans="1:5" ht="15" customHeight="1">
      <c r="A14" s="55" t="s">
        <v>3</v>
      </c>
      <c r="B14" s="97" t="s">
        <v>14</v>
      </c>
    </row>
    <row r="15" spans="1:5" ht="15" customHeight="1">
      <c r="A15" s="95" t="s">
        <v>35</v>
      </c>
      <c r="B15" s="98">
        <v>0.14583333333333334</v>
      </c>
    </row>
    <row r="16" spans="1:5" ht="15" customHeight="1">
      <c r="A16" s="62" t="s">
        <v>34</v>
      </c>
      <c r="B16" s="93">
        <f>residuel(B14,B15)</f>
        <v>0.94567787158783334</v>
      </c>
    </row>
    <row r="17" spans="1:2" ht="15" customHeight="1"/>
    <row r="18" spans="1:2" ht="15" customHeight="1">
      <c r="A18" s="182" t="s">
        <v>40</v>
      </c>
      <c r="B18" s="183"/>
    </row>
    <row r="19" spans="1:2" ht="15" customHeight="1">
      <c r="A19" s="55" t="s">
        <v>34</v>
      </c>
      <c r="B19" s="97">
        <v>0.95</v>
      </c>
    </row>
    <row r="20" spans="1:2" ht="15" customHeight="1">
      <c r="A20" s="95" t="s">
        <v>41</v>
      </c>
      <c r="B20" s="99">
        <v>15</v>
      </c>
    </row>
    <row r="21" spans="1:2" ht="15" customHeight="1">
      <c r="A21" s="62" t="s">
        <v>52</v>
      </c>
      <c r="B21" s="94">
        <f>majoration(B19,B20)</f>
        <v>23</v>
      </c>
    </row>
    <row r="23" spans="1:2" ht="30" customHeight="1">
      <c r="A23" s="180" t="s">
        <v>37</v>
      </c>
      <c r="B23" s="181"/>
    </row>
    <row r="24" spans="1:2" ht="15" customHeight="1">
      <c r="A24" s="55" t="s">
        <v>39</v>
      </c>
      <c r="B24" s="97">
        <v>1.01</v>
      </c>
    </row>
    <row r="25" spans="1:2" ht="15" customHeight="1">
      <c r="A25" s="95" t="s">
        <v>38</v>
      </c>
      <c r="B25" s="98">
        <v>4.1666666666666664E-2</v>
      </c>
    </row>
    <row r="26" spans="1:2" ht="15" customHeight="1">
      <c r="A26" s="62" t="s">
        <v>34</v>
      </c>
      <c r="B26" s="93">
        <f>o2pur(B24,B25)</f>
        <v>0.84930537940625161</v>
      </c>
    </row>
    <row r="27" spans="1:2" ht="15" customHeight="1"/>
    <row r="28" spans="1:2" ht="15" customHeight="1"/>
    <row r="29" spans="1:2" ht="15" customHeight="1"/>
    <row r="30" spans="1:2" ht="15" customHeight="1"/>
  </sheetData>
  <sheetProtection sheet="1" objects="1" scenarios="1"/>
  <mergeCells count="4">
    <mergeCell ref="A23:B23"/>
    <mergeCell ref="A2:B2"/>
    <mergeCell ref="A13:B13"/>
    <mergeCell ref="A18:B18"/>
  </mergeCells>
  <phoneticPr fontId="5" type="noConversion"/>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AC63"/>
  <sheetViews>
    <sheetView topLeftCell="A25" workbookViewId="0"/>
  </sheetViews>
  <sheetFormatPr baseColWidth="10" defaultRowHeight="15.75"/>
  <cols>
    <col min="1" max="1" width="5.125" bestFit="1" customWidth="1"/>
    <col min="2" max="2" width="6.125" bestFit="1" customWidth="1"/>
    <col min="3" max="7" width="4.875" customWidth="1"/>
    <col min="8" max="9" width="5.375" customWidth="1"/>
    <col min="10" max="10" width="1.5" customWidth="1"/>
    <col min="11" max="11" width="5.125" bestFit="1" customWidth="1"/>
    <col min="12" max="12" width="6.125" bestFit="1" customWidth="1"/>
    <col min="13" max="17" width="4.875" customWidth="1"/>
    <col min="18" max="19" width="5.375" customWidth="1"/>
    <col min="20" max="20" width="1.5" customWidth="1"/>
    <col min="21" max="21" width="5.125" bestFit="1" customWidth="1"/>
    <col min="22" max="22" width="6.125" bestFit="1" customWidth="1"/>
    <col min="23" max="27" width="4.875" customWidth="1"/>
    <col min="28" max="29" width="5.375" customWidth="1"/>
  </cols>
  <sheetData>
    <row r="1" spans="1:29">
      <c r="A1" s="59" t="s">
        <v>32</v>
      </c>
      <c r="B1" s="60" t="s">
        <v>33</v>
      </c>
      <c r="C1" s="61" t="s">
        <v>25</v>
      </c>
      <c r="D1" s="61" t="s">
        <v>26</v>
      </c>
      <c r="E1" s="61" t="s">
        <v>27</v>
      </c>
      <c r="F1" s="61" t="s">
        <v>28</v>
      </c>
      <c r="G1" s="61" t="s">
        <v>29</v>
      </c>
      <c r="H1" s="62" t="s">
        <v>30</v>
      </c>
      <c r="I1" s="60" t="s">
        <v>3</v>
      </c>
      <c r="K1" s="59" t="s">
        <v>32</v>
      </c>
      <c r="L1" s="60" t="s">
        <v>33</v>
      </c>
      <c r="M1" s="61" t="s">
        <v>25</v>
      </c>
      <c r="N1" s="61" t="s">
        <v>26</v>
      </c>
      <c r="O1" s="61" t="s">
        <v>27</v>
      </c>
      <c r="P1" s="61" t="s">
        <v>28</v>
      </c>
      <c r="Q1" s="61" t="s">
        <v>29</v>
      </c>
      <c r="R1" s="62" t="s">
        <v>30</v>
      </c>
      <c r="S1" s="60" t="s">
        <v>3</v>
      </c>
      <c r="U1" s="59" t="s">
        <v>32</v>
      </c>
      <c r="V1" s="60" t="s">
        <v>33</v>
      </c>
      <c r="W1" s="61" t="s">
        <v>25</v>
      </c>
      <c r="X1" s="61" t="s">
        <v>26</v>
      </c>
      <c r="Y1" s="61" t="s">
        <v>27</v>
      </c>
      <c r="Z1" s="61" t="s">
        <v>28</v>
      </c>
      <c r="AA1" s="61" t="s">
        <v>29</v>
      </c>
      <c r="AB1" s="62" t="s">
        <v>30</v>
      </c>
      <c r="AC1" s="60" t="s">
        <v>3</v>
      </c>
    </row>
    <row r="2" spans="1:29">
      <c r="A2" s="80">
        <v>15</v>
      </c>
      <c r="B2" s="63">
        <v>10</v>
      </c>
      <c r="C2" s="81" t="str">
        <f t="array" ref="C2:I2">calc_deco(A2,B2)</f>
        <v/>
      </c>
      <c r="D2" s="81" t="str">
        <v/>
      </c>
      <c r="E2" s="81" t="str">
        <v/>
      </c>
      <c r="F2" s="81" t="str">
        <v/>
      </c>
      <c r="G2" s="81" t="str">
        <v/>
      </c>
      <c r="H2" s="82">
        <v>1</v>
      </c>
      <c r="I2" s="83" t="str">
        <v>B</v>
      </c>
      <c r="K2" s="80">
        <v>22</v>
      </c>
      <c r="L2" s="63">
        <v>10</v>
      </c>
      <c r="M2" s="81" t="str">
        <f t="array" ref="M2:S2">calc_deco(K2,L2)</f>
        <v/>
      </c>
      <c r="N2" s="81" t="str">
        <v/>
      </c>
      <c r="O2" s="81" t="str">
        <v/>
      </c>
      <c r="P2" s="81" t="str">
        <v/>
      </c>
      <c r="Q2" s="81" t="str">
        <v/>
      </c>
      <c r="R2" s="82">
        <v>2</v>
      </c>
      <c r="S2" s="83" t="str">
        <v>C</v>
      </c>
      <c r="U2" s="80">
        <v>30</v>
      </c>
      <c r="V2" s="63">
        <v>5</v>
      </c>
      <c r="W2" s="81" t="str">
        <f t="array" ref="W2:AC2">calc_deco(U2,V2)</f>
        <v/>
      </c>
      <c r="X2" s="81" t="str">
        <v/>
      </c>
      <c r="Y2" s="81" t="str">
        <v/>
      </c>
      <c r="Z2" s="81" t="str">
        <v/>
      </c>
      <c r="AA2" s="81" t="str">
        <v/>
      </c>
      <c r="AB2" s="82">
        <v>2</v>
      </c>
      <c r="AC2" s="83" t="str">
        <v>B</v>
      </c>
    </row>
    <row r="3" spans="1:29">
      <c r="A3" s="49">
        <v>15</v>
      </c>
      <c r="B3" s="4">
        <v>20</v>
      </c>
      <c r="C3" s="50" t="str">
        <f t="array" ref="C3:I3">calc_deco(A3,B3)</f>
        <v/>
      </c>
      <c r="D3" s="50" t="str">
        <v/>
      </c>
      <c r="E3" s="50" t="str">
        <v/>
      </c>
      <c r="F3" s="50" t="str">
        <v/>
      </c>
      <c r="G3" s="50" t="str">
        <v/>
      </c>
      <c r="H3" s="57">
        <v>1</v>
      </c>
      <c r="I3" s="51" t="str">
        <v>D</v>
      </c>
      <c r="K3" s="49">
        <v>22</v>
      </c>
      <c r="L3" s="4">
        <v>20</v>
      </c>
      <c r="M3" s="50" t="str">
        <f t="array" ref="M3:S3">calc_deco(K3,L3)</f>
        <v/>
      </c>
      <c r="N3" s="50" t="str">
        <v/>
      </c>
      <c r="O3" s="50" t="str">
        <v/>
      </c>
      <c r="P3" s="50" t="str">
        <v/>
      </c>
      <c r="Q3" s="50" t="str">
        <v/>
      </c>
      <c r="R3" s="57">
        <v>2</v>
      </c>
      <c r="S3" s="51" t="str">
        <v>E</v>
      </c>
      <c r="U3" s="49">
        <v>30</v>
      </c>
      <c r="V3" s="4">
        <v>10</v>
      </c>
      <c r="W3" s="50" t="str">
        <f t="array" ref="W3:AC3">calc_deco(U3,V3)</f>
        <v/>
      </c>
      <c r="X3" s="50" t="str">
        <v/>
      </c>
      <c r="Y3" s="50" t="str">
        <v/>
      </c>
      <c r="Z3" s="50" t="str">
        <v/>
      </c>
      <c r="AA3" s="50" t="str">
        <v/>
      </c>
      <c r="AB3" s="57">
        <v>2</v>
      </c>
      <c r="AC3" s="51" t="str">
        <v>D</v>
      </c>
    </row>
    <row r="4" spans="1:29">
      <c r="A4" s="46">
        <v>15</v>
      </c>
      <c r="B4" s="64">
        <v>30</v>
      </c>
      <c r="C4" s="47" t="str">
        <f t="array" ref="C4:I4">calc_deco(A4,B4)</f>
        <v/>
      </c>
      <c r="D4" s="47" t="str">
        <v/>
      </c>
      <c r="E4" s="47" t="str">
        <v/>
      </c>
      <c r="F4" s="47" t="str">
        <v/>
      </c>
      <c r="G4" s="47" t="str">
        <v/>
      </c>
      <c r="H4" s="56">
        <v>1</v>
      </c>
      <c r="I4" s="48" t="str">
        <v>E</v>
      </c>
      <c r="K4" s="46">
        <v>22</v>
      </c>
      <c r="L4" s="64">
        <v>30</v>
      </c>
      <c r="M4" s="47" t="str">
        <f t="array" ref="M4:S4">calc_deco(K4,L4)</f>
        <v/>
      </c>
      <c r="N4" s="47" t="str">
        <v/>
      </c>
      <c r="O4" s="47" t="str">
        <v/>
      </c>
      <c r="P4" s="47" t="str">
        <v/>
      </c>
      <c r="Q4" s="47" t="str">
        <v/>
      </c>
      <c r="R4" s="56">
        <v>2</v>
      </c>
      <c r="S4" s="48" t="str">
        <v>G</v>
      </c>
      <c r="U4" s="46">
        <v>30</v>
      </c>
      <c r="V4" s="64">
        <v>15</v>
      </c>
      <c r="W4" s="47" t="str">
        <f t="array" ref="W4:AC4">calc_deco(U4,V4)</f>
        <v/>
      </c>
      <c r="X4" s="47" t="str">
        <v/>
      </c>
      <c r="Y4" s="47" t="str">
        <v/>
      </c>
      <c r="Z4" s="47" t="str">
        <v/>
      </c>
      <c r="AA4" s="47">
        <v>1</v>
      </c>
      <c r="AB4" s="56">
        <v>4</v>
      </c>
      <c r="AC4" s="48" t="str">
        <v>E</v>
      </c>
    </row>
    <row r="5" spans="1:29">
      <c r="A5" s="49">
        <v>15</v>
      </c>
      <c r="B5" s="4">
        <v>40</v>
      </c>
      <c r="C5" s="50" t="str">
        <f t="array" ref="C5:I5">calc_deco(A5,B5)</f>
        <v/>
      </c>
      <c r="D5" s="50" t="str">
        <v/>
      </c>
      <c r="E5" s="50" t="str">
        <v/>
      </c>
      <c r="F5" s="50" t="str">
        <v/>
      </c>
      <c r="G5" s="50" t="str">
        <v/>
      </c>
      <c r="H5" s="57">
        <v>1</v>
      </c>
      <c r="I5" s="51" t="str">
        <v>F</v>
      </c>
      <c r="K5" s="49">
        <v>22</v>
      </c>
      <c r="L5" s="4">
        <v>40</v>
      </c>
      <c r="M5" s="50" t="str">
        <f t="array" ref="M5:S5">calc_deco(K5,L5)</f>
        <v/>
      </c>
      <c r="N5" s="50" t="str">
        <v/>
      </c>
      <c r="O5" s="50" t="str">
        <v/>
      </c>
      <c r="P5" s="50" t="str">
        <v/>
      </c>
      <c r="Q5" s="50">
        <v>3</v>
      </c>
      <c r="R5" s="57">
        <v>5</v>
      </c>
      <c r="S5" s="51" t="str">
        <v>I</v>
      </c>
      <c r="U5" s="49">
        <v>30</v>
      </c>
      <c r="V5" s="4">
        <v>20</v>
      </c>
      <c r="W5" s="50" t="str">
        <f t="array" ref="W5:AC5">calc_deco(U5,V5)</f>
        <v/>
      </c>
      <c r="X5" s="50" t="str">
        <v/>
      </c>
      <c r="Y5" s="50" t="str">
        <v/>
      </c>
      <c r="Z5" s="50" t="str">
        <v/>
      </c>
      <c r="AA5" s="50">
        <v>2</v>
      </c>
      <c r="AB5" s="57">
        <v>5</v>
      </c>
      <c r="AC5" s="51" t="str">
        <v>G</v>
      </c>
    </row>
    <row r="6" spans="1:29">
      <c r="A6" s="46">
        <v>15</v>
      </c>
      <c r="B6" s="64">
        <v>50</v>
      </c>
      <c r="C6" s="47" t="str">
        <f t="array" ref="C6:I6">calc_deco(A6,B6)</f>
        <v/>
      </c>
      <c r="D6" s="47" t="str">
        <v/>
      </c>
      <c r="E6" s="47" t="str">
        <v/>
      </c>
      <c r="F6" s="47" t="str">
        <v/>
      </c>
      <c r="G6" s="47" t="str">
        <v/>
      </c>
      <c r="H6" s="56">
        <v>1</v>
      </c>
      <c r="I6" s="48" t="str">
        <v>G</v>
      </c>
      <c r="K6" s="46">
        <v>22</v>
      </c>
      <c r="L6" s="64">
        <v>45</v>
      </c>
      <c r="M6" s="47" t="str">
        <f t="array" ref="M6:S6">calc_deco(K6,L6)</f>
        <v/>
      </c>
      <c r="N6" s="47" t="str">
        <v/>
      </c>
      <c r="O6" s="47" t="str">
        <v/>
      </c>
      <c r="P6" s="47" t="str">
        <v/>
      </c>
      <c r="Q6" s="47">
        <v>7</v>
      </c>
      <c r="R6" s="56">
        <v>9</v>
      </c>
      <c r="S6" s="48" t="str">
        <v>I</v>
      </c>
      <c r="U6" s="46">
        <v>30</v>
      </c>
      <c r="V6" s="64">
        <v>25</v>
      </c>
      <c r="W6" s="47" t="str">
        <f t="array" ref="W6:AC6">calc_deco(U6,V6)</f>
        <v/>
      </c>
      <c r="X6" s="47" t="str">
        <v/>
      </c>
      <c r="Y6" s="47" t="str">
        <v/>
      </c>
      <c r="Z6" s="47" t="str">
        <v/>
      </c>
      <c r="AA6" s="47">
        <v>4</v>
      </c>
      <c r="AB6" s="56">
        <v>7</v>
      </c>
      <c r="AC6" s="48" t="str">
        <v>H</v>
      </c>
    </row>
    <row r="7" spans="1:29">
      <c r="A7" s="49">
        <v>15</v>
      </c>
      <c r="B7" s="4">
        <v>60</v>
      </c>
      <c r="C7" s="50" t="str">
        <f t="array" ref="C7:I7">calc_deco(A7,B7)</f>
        <v/>
      </c>
      <c r="D7" s="50" t="str">
        <v/>
      </c>
      <c r="E7" s="50" t="str">
        <v/>
      </c>
      <c r="F7" s="50" t="str">
        <v/>
      </c>
      <c r="G7" s="50" t="str">
        <v/>
      </c>
      <c r="H7" s="57">
        <v>1</v>
      </c>
      <c r="I7" s="51" t="str">
        <v>H</v>
      </c>
      <c r="K7" s="49">
        <v>22</v>
      </c>
      <c r="L7" s="4">
        <v>50</v>
      </c>
      <c r="M7" s="50" t="str">
        <f t="array" ref="M7:S7">calc_deco(K7,L7)</f>
        <v/>
      </c>
      <c r="N7" s="50" t="str">
        <v/>
      </c>
      <c r="O7" s="50" t="str">
        <v/>
      </c>
      <c r="P7" s="50" t="str">
        <v/>
      </c>
      <c r="Q7" s="50">
        <v>12</v>
      </c>
      <c r="R7" s="57">
        <v>14</v>
      </c>
      <c r="S7" s="51" t="str">
        <v>J</v>
      </c>
      <c r="U7" s="49">
        <v>30</v>
      </c>
      <c r="V7" s="4">
        <v>30</v>
      </c>
      <c r="W7" s="50" t="str">
        <f t="array" ref="W7:AC7">calc_deco(U7,V7)</f>
        <v/>
      </c>
      <c r="X7" s="50" t="str">
        <v/>
      </c>
      <c r="Y7" s="50" t="str">
        <v/>
      </c>
      <c r="Z7" s="50" t="str">
        <v/>
      </c>
      <c r="AA7" s="50">
        <v>10</v>
      </c>
      <c r="AB7" s="57">
        <v>13</v>
      </c>
      <c r="AC7" s="51" t="str">
        <v>I</v>
      </c>
    </row>
    <row r="8" spans="1:29">
      <c r="A8" s="46">
        <v>15</v>
      </c>
      <c r="B8" s="64">
        <v>70</v>
      </c>
      <c r="C8" s="47" t="str">
        <f t="array" ref="C8:I8">calc_deco(A8,B8)</f>
        <v/>
      </c>
      <c r="D8" s="47" t="str">
        <v/>
      </c>
      <c r="E8" s="47" t="str">
        <v/>
      </c>
      <c r="F8" s="47" t="str">
        <v/>
      </c>
      <c r="G8" s="47" t="str">
        <v/>
      </c>
      <c r="H8" s="56">
        <v>1</v>
      </c>
      <c r="I8" s="48" t="str">
        <v>J</v>
      </c>
      <c r="K8" s="46">
        <v>22</v>
      </c>
      <c r="L8" s="64">
        <v>55</v>
      </c>
      <c r="M8" s="47" t="str">
        <f t="array" ref="M8:S8">calc_deco(K8,L8)</f>
        <v/>
      </c>
      <c r="N8" s="47" t="str">
        <v/>
      </c>
      <c r="O8" s="47" t="str">
        <v/>
      </c>
      <c r="P8" s="47" t="str">
        <v/>
      </c>
      <c r="Q8" s="47">
        <v>16</v>
      </c>
      <c r="R8" s="56">
        <v>18</v>
      </c>
      <c r="S8" s="48" t="str">
        <v>K</v>
      </c>
      <c r="U8" s="46">
        <v>30</v>
      </c>
      <c r="V8" s="64">
        <v>35</v>
      </c>
      <c r="W8" s="47" t="str">
        <f t="array" ref="W8:AC8">calc_deco(U8,V8)</f>
        <v/>
      </c>
      <c r="X8" s="47" t="str">
        <v/>
      </c>
      <c r="Y8" s="47" t="str">
        <v/>
      </c>
      <c r="Z8" s="47" t="str">
        <v/>
      </c>
      <c r="AA8" s="47">
        <v>17</v>
      </c>
      <c r="AB8" s="56">
        <v>20</v>
      </c>
      <c r="AC8" s="48" t="str">
        <v>J</v>
      </c>
    </row>
    <row r="9" spans="1:29">
      <c r="A9" s="52">
        <v>15</v>
      </c>
      <c r="B9" s="5">
        <v>80</v>
      </c>
      <c r="C9" s="53" t="str">
        <f t="array" ref="C9:I9">calc_deco(A9,B9)</f>
        <v/>
      </c>
      <c r="D9" s="53" t="str">
        <v/>
      </c>
      <c r="E9" s="53" t="str">
        <v/>
      </c>
      <c r="F9" s="53" t="str">
        <v/>
      </c>
      <c r="G9" s="53">
        <v>2</v>
      </c>
      <c r="H9" s="58">
        <v>4</v>
      </c>
      <c r="I9" s="54" t="str">
        <v>K</v>
      </c>
      <c r="K9" s="49">
        <v>22</v>
      </c>
      <c r="L9" s="4">
        <v>60</v>
      </c>
      <c r="M9" s="50" t="str">
        <f t="array" ref="M9:S9">calc_deco(K9,L9)</f>
        <v/>
      </c>
      <c r="N9" s="50" t="str">
        <v/>
      </c>
      <c r="O9" s="50" t="str">
        <v/>
      </c>
      <c r="P9" s="50" t="str">
        <v/>
      </c>
      <c r="Q9" s="50">
        <v>21</v>
      </c>
      <c r="R9" s="57">
        <v>23</v>
      </c>
      <c r="S9" s="51" t="str">
        <v>K</v>
      </c>
      <c r="U9" s="49">
        <v>30</v>
      </c>
      <c r="V9" s="4">
        <v>40</v>
      </c>
      <c r="W9" s="50" t="str">
        <f t="array" ref="W9:AC9">calc_deco(U9,V9)</f>
        <v/>
      </c>
      <c r="X9" s="50" t="str">
        <v/>
      </c>
      <c r="Y9" s="50" t="str">
        <v/>
      </c>
      <c r="Z9" s="50" t="str">
        <v/>
      </c>
      <c r="AA9" s="50">
        <v>24</v>
      </c>
      <c r="AB9" s="57">
        <v>27</v>
      </c>
      <c r="AC9" s="51" t="str">
        <v>K</v>
      </c>
    </row>
    <row r="10" spans="1:29">
      <c r="A10" s="80">
        <v>18</v>
      </c>
      <c r="B10" s="63">
        <v>10</v>
      </c>
      <c r="C10" s="81" t="str">
        <f t="array" ref="C10:I10">calc_deco(A10,B10)</f>
        <v/>
      </c>
      <c r="D10" s="81" t="str">
        <v/>
      </c>
      <c r="E10" s="81" t="str">
        <v/>
      </c>
      <c r="F10" s="81" t="str">
        <v/>
      </c>
      <c r="G10" s="81" t="str">
        <v/>
      </c>
      <c r="H10" s="82">
        <v>2</v>
      </c>
      <c r="I10" s="83" t="str">
        <v>B</v>
      </c>
      <c r="K10" s="46">
        <v>22</v>
      </c>
      <c r="L10" s="64">
        <v>65</v>
      </c>
      <c r="M10" s="47" t="str">
        <f t="array" ref="M10:S10">calc_deco(K10,L10)</f>
        <v/>
      </c>
      <c r="N10" s="47" t="str">
        <v/>
      </c>
      <c r="O10" s="47" t="str">
        <v/>
      </c>
      <c r="P10" s="47" t="str">
        <v/>
      </c>
      <c r="Q10" s="47">
        <v>25</v>
      </c>
      <c r="R10" s="56">
        <v>27</v>
      </c>
      <c r="S10" s="48" t="str">
        <v>L</v>
      </c>
      <c r="U10" s="46">
        <v>30</v>
      </c>
      <c r="V10" s="64">
        <v>45</v>
      </c>
      <c r="W10" s="47" t="str">
        <f t="array" ref="W10:AC10">calc_deco(U10,V10)</f>
        <v/>
      </c>
      <c r="X10" s="47" t="str">
        <v/>
      </c>
      <c r="Y10" s="47" t="str">
        <v/>
      </c>
      <c r="Z10" s="47">
        <v>1</v>
      </c>
      <c r="AA10" s="47">
        <v>31</v>
      </c>
      <c r="AB10" s="56">
        <v>35</v>
      </c>
      <c r="AC10" s="48" t="str">
        <v>L</v>
      </c>
    </row>
    <row r="11" spans="1:29">
      <c r="A11" s="49">
        <v>18</v>
      </c>
      <c r="B11" s="4">
        <v>20</v>
      </c>
      <c r="C11" s="50" t="str">
        <f t="array" ref="C11:I11">calc_deco(A11,B11)</f>
        <v/>
      </c>
      <c r="D11" s="50" t="str">
        <v/>
      </c>
      <c r="E11" s="50" t="str">
        <v/>
      </c>
      <c r="F11" s="50" t="str">
        <v/>
      </c>
      <c r="G11" s="50" t="str">
        <v/>
      </c>
      <c r="H11" s="57">
        <v>2</v>
      </c>
      <c r="I11" s="51" t="str">
        <v>D</v>
      </c>
      <c r="K11" s="52">
        <v>22</v>
      </c>
      <c r="L11" s="5">
        <v>70</v>
      </c>
      <c r="M11" s="53" t="str">
        <f t="array" ref="M11:S11">calc_deco(K11,L11)</f>
        <v/>
      </c>
      <c r="N11" s="53" t="str">
        <v/>
      </c>
      <c r="O11" s="53" t="str">
        <v/>
      </c>
      <c r="P11" s="53" t="str">
        <v/>
      </c>
      <c r="Q11" s="53">
        <v>29</v>
      </c>
      <c r="R11" s="58">
        <v>31</v>
      </c>
      <c r="S11" s="54" t="str">
        <v>M</v>
      </c>
      <c r="U11" s="52">
        <v>30</v>
      </c>
      <c r="V11" s="5">
        <v>50</v>
      </c>
      <c r="W11" s="53" t="str">
        <f t="array" ref="W11:AC11">calc_deco(U11,V11)</f>
        <v/>
      </c>
      <c r="X11" s="53" t="str">
        <v/>
      </c>
      <c r="Y11" s="53" t="str">
        <v/>
      </c>
      <c r="Z11" s="53">
        <v>3</v>
      </c>
      <c r="AA11" s="53">
        <v>36</v>
      </c>
      <c r="AB11" s="58">
        <v>42</v>
      </c>
      <c r="AC11" s="54" t="str">
        <v>M</v>
      </c>
    </row>
    <row r="12" spans="1:29">
      <c r="A12" s="46">
        <v>18</v>
      </c>
      <c r="B12" s="64">
        <v>30</v>
      </c>
      <c r="C12" s="47" t="str">
        <f t="array" ref="C12:I12">calc_deco(A12,B12)</f>
        <v/>
      </c>
      <c r="D12" s="47" t="str">
        <v/>
      </c>
      <c r="E12" s="47" t="str">
        <v/>
      </c>
      <c r="F12" s="47" t="str">
        <v/>
      </c>
      <c r="G12" s="47" t="str">
        <v/>
      </c>
      <c r="H12" s="56">
        <v>2</v>
      </c>
      <c r="I12" s="48" t="str">
        <v>F</v>
      </c>
      <c r="K12" s="46">
        <v>25</v>
      </c>
      <c r="L12" s="63">
        <v>10</v>
      </c>
      <c r="M12" s="47" t="str">
        <f t="array" ref="M12:S12">calc_deco(K12,L12)</f>
        <v/>
      </c>
      <c r="N12" s="47" t="str">
        <v/>
      </c>
      <c r="O12" s="47" t="str">
        <v/>
      </c>
      <c r="P12" s="47" t="str">
        <v/>
      </c>
      <c r="Q12" s="47" t="str">
        <v/>
      </c>
      <c r="R12" s="56">
        <v>2</v>
      </c>
      <c r="S12" s="48" t="str">
        <v>C</v>
      </c>
      <c r="U12" s="46">
        <v>32</v>
      </c>
      <c r="V12" s="64">
        <v>5</v>
      </c>
      <c r="W12" s="47" t="str">
        <f t="array" ref="W12:AC12">calc_deco(U12,V12)</f>
        <v/>
      </c>
      <c r="X12" s="47" t="str">
        <v/>
      </c>
      <c r="Y12" s="47" t="str">
        <v/>
      </c>
      <c r="Z12" s="47" t="str">
        <v/>
      </c>
      <c r="AA12" s="47" t="str">
        <v/>
      </c>
      <c r="AB12" s="56">
        <v>3</v>
      </c>
      <c r="AC12" s="48" t="str">
        <v>B</v>
      </c>
    </row>
    <row r="13" spans="1:29">
      <c r="A13" s="49">
        <v>18</v>
      </c>
      <c r="B13" s="4">
        <v>40</v>
      </c>
      <c r="C13" s="50" t="str">
        <f t="array" ref="C13:I13">calc_deco(A13,B13)</f>
        <v/>
      </c>
      <c r="D13" s="50" t="str">
        <v/>
      </c>
      <c r="E13" s="50" t="str">
        <v/>
      </c>
      <c r="F13" s="50" t="str">
        <v/>
      </c>
      <c r="G13" s="50" t="str">
        <v/>
      </c>
      <c r="H13" s="57">
        <v>2</v>
      </c>
      <c r="I13" s="51" t="str">
        <v>G</v>
      </c>
      <c r="K13" s="49">
        <v>25</v>
      </c>
      <c r="L13" s="4">
        <v>20</v>
      </c>
      <c r="M13" s="50" t="str">
        <f t="array" ref="M13:S13">calc_deco(K13,L13)</f>
        <v/>
      </c>
      <c r="N13" s="50" t="str">
        <v/>
      </c>
      <c r="O13" s="50" t="str">
        <v/>
      </c>
      <c r="P13" s="50" t="str">
        <v/>
      </c>
      <c r="Q13" s="50" t="str">
        <v/>
      </c>
      <c r="R13" s="57">
        <v>2</v>
      </c>
      <c r="S13" s="51" t="str">
        <v>F</v>
      </c>
      <c r="U13" s="49">
        <v>32</v>
      </c>
      <c r="V13" s="4">
        <v>10</v>
      </c>
      <c r="W13" s="50" t="str">
        <f t="array" ref="W13:AC13">calc_deco(U13,V13)</f>
        <v/>
      </c>
      <c r="X13" s="50" t="str">
        <v/>
      </c>
      <c r="Y13" s="50" t="str">
        <v/>
      </c>
      <c r="Z13" s="50" t="str">
        <v/>
      </c>
      <c r="AA13" s="50" t="str">
        <v/>
      </c>
      <c r="AB13" s="57">
        <v>3</v>
      </c>
      <c r="AC13" s="51" t="str">
        <v>D</v>
      </c>
    </row>
    <row r="14" spans="1:29">
      <c r="A14" s="46">
        <v>18</v>
      </c>
      <c r="B14" s="64">
        <v>50</v>
      </c>
      <c r="C14" s="47" t="str">
        <f t="array" ref="C14:I14">calc_deco(A14,B14)</f>
        <v/>
      </c>
      <c r="D14" s="47" t="str">
        <v/>
      </c>
      <c r="E14" s="47" t="str">
        <v/>
      </c>
      <c r="F14" s="47" t="str">
        <v/>
      </c>
      <c r="G14" s="47" t="str">
        <v/>
      </c>
      <c r="H14" s="56">
        <v>2</v>
      </c>
      <c r="I14" s="48" t="str">
        <v>I</v>
      </c>
      <c r="K14" s="46">
        <v>25</v>
      </c>
      <c r="L14" s="64">
        <v>25</v>
      </c>
      <c r="M14" s="47" t="str">
        <f t="array" ref="M14:S14">calc_deco(K14,L14)</f>
        <v/>
      </c>
      <c r="N14" s="47" t="str">
        <v/>
      </c>
      <c r="O14" s="47" t="str">
        <v/>
      </c>
      <c r="P14" s="47" t="str">
        <v/>
      </c>
      <c r="Q14" s="47">
        <v>1</v>
      </c>
      <c r="R14" s="56">
        <v>3</v>
      </c>
      <c r="S14" s="48" t="str">
        <v>G</v>
      </c>
      <c r="U14" s="46">
        <v>32</v>
      </c>
      <c r="V14" s="64">
        <v>15</v>
      </c>
      <c r="W14" s="47" t="str">
        <f t="array" ref="W14:AC14">calc_deco(U14,V14)</f>
        <v/>
      </c>
      <c r="X14" s="47" t="str">
        <v/>
      </c>
      <c r="Y14" s="47" t="str">
        <v/>
      </c>
      <c r="Z14" s="47" t="str">
        <v/>
      </c>
      <c r="AA14" s="47">
        <v>1</v>
      </c>
      <c r="AB14" s="56">
        <v>4</v>
      </c>
      <c r="AC14" s="48" t="str">
        <v>F</v>
      </c>
    </row>
    <row r="15" spans="1:29">
      <c r="A15" s="49">
        <v>18</v>
      </c>
      <c r="B15" s="4">
        <v>55</v>
      </c>
      <c r="C15" s="50" t="str">
        <f t="array" ref="C15:I15">calc_deco(A15,B15)</f>
        <v/>
      </c>
      <c r="D15" s="50" t="str">
        <v/>
      </c>
      <c r="E15" s="50" t="str">
        <v/>
      </c>
      <c r="F15" s="50" t="str">
        <v/>
      </c>
      <c r="G15" s="50">
        <v>1</v>
      </c>
      <c r="H15" s="57">
        <v>3</v>
      </c>
      <c r="I15" s="51" t="str">
        <v>I</v>
      </c>
      <c r="K15" s="49">
        <v>25</v>
      </c>
      <c r="L15" s="4">
        <v>30</v>
      </c>
      <c r="M15" s="50" t="str">
        <f t="array" ref="M15:S15">calc_deco(K15,L15)</f>
        <v/>
      </c>
      <c r="N15" s="50" t="str">
        <v/>
      </c>
      <c r="O15" s="50" t="str">
        <v/>
      </c>
      <c r="P15" s="50" t="str">
        <v/>
      </c>
      <c r="Q15" s="50">
        <v>2</v>
      </c>
      <c r="R15" s="57">
        <v>4</v>
      </c>
      <c r="S15" s="51" t="str">
        <v>H</v>
      </c>
      <c r="U15" s="49">
        <v>32</v>
      </c>
      <c r="V15" s="4">
        <v>20</v>
      </c>
      <c r="W15" s="50" t="str">
        <f t="array" ref="W15:AC15">calc_deco(U15,V15)</f>
        <v/>
      </c>
      <c r="X15" s="50" t="str">
        <v/>
      </c>
      <c r="Y15" s="50" t="str">
        <v/>
      </c>
      <c r="Z15" s="50" t="str">
        <v/>
      </c>
      <c r="AA15" s="50">
        <v>3</v>
      </c>
      <c r="AB15" s="57">
        <v>6</v>
      </c>
      <c r="AC15" s="51" t="str">
        <v>G</v>
      </c>
    </row>
    <row r="16" spans="1:29">
      <c r="A16" s="46">
        <v>18</v>
      </c>
      <c r="B16" s="64">
        <v>60</v>
      </c>
      <c r="C16" s="47" t="str">
        <f t="array" ref="C16:I16">calc_deco(A16,B16)</f>
        <v/>
      </c>
      <c r="D16" s="47" t="str">
        <v/>
      </c>
      <c r="E16" s="47" t="str">
        <v/>
      </c>
      <c r="F16" s="47" t="str">
        <v/>
      </c>
      <c r="G16" s="47">
        <v>5</v>
      </c>
      <c r="H16" s="56">
        <v>7</v>
      </c>
      <c r="I16" s="48" t="str">
        <v>J</v>
      </c>
      <c r="K16" s="46">
        <v>25</v>
      </c>
      <c r="L16" s="64">
        <v>35</v>
      </c>
      <c r="M16" s="47" t="str">
        <f t="array" ref="M16:S16">calc_deco(K16,L16)</f>
        <v/>
      </c>
      <c r="N16" s="47" t="str">
        <v/>
      </c>
      <c r="O16" s="47" t="str">
        <v/>
      </c>
      <c r="P16" s="47" t="str">
        <v/>
      </c>
      <c r="Q16" s="47">
        <v>5</v>
      </c>
      <c r="R16" s="56">
        <v>7</v>
      </c>
      <c r="S16" s="48" t="str">
        <v>I</v>
      </c>
      <c r="U16" s="46">
        <v>32</v>
      </c>
      <c r="V16" s="64">
        <v>25</v>
      </c>
      <c r="W16" s="47" t="str">
        <f t="array" ref="W16:AC16">calc_deco(U16,V16)</f>
        <v/>
      </c>
      <c r="X16" s="47" t="str">
        <v/>
      </c>
      <c r="Y16" s="47" t="str">
        <v/>
      </c>
      <c r="Z16" s="47" t="str">
        <v/>
      </c>
      <c r="AA16" s="47">
        <v>7</v>
      </c>
      <c r="AB16" s="56">
        <v>10</v>
      </c>
      <c r="AC16" s="48" t="str">
        <v>H</v>
      </c>
    </row>
    <row r="17" spans="1:29">
      <c r="A17" s="49">
        <v>18</v>
      </c>
      <c r="B17" s="4">
        <v>65</v>
      </c>
      <c r="C17" s="50" t="str">
        <f t="array" ref="C17:I17">calc_deco(A17,B17)</f>
        <v/>
      </c>
      <c r="D17" s="50" t="str">
        <v/>
      </c>
      <c r="E17" s="50" t="str">
        <v/>
      </c>
      <c r="F17" s="50" t="str">
        <v/>
      </c>
      <c r="G17" s="50">
        <v>8</v>
      </c>
      <c r="H17" s="57">
        <v>10</v>
      </c>
      <c r="I17" s="51" t="str">
        <v>K</v>
      </c>
      <c r="K17" s="49">
        <v>25</v>
      </c>
      <c r="L17" s="4">
        <v>40</v>
      </c>
      <c r="M17" s="50" t="str">
        <f t="array" ref="M17:S17">calc_deco(K17,L17)</f>
        <v/>
      </c>
      <c r="N17" s="50" t="str">
        <v/>
      </c>
      <c r="O17" s="50" t="str">
        <v/>
      </c>
      <c r="P17" s="50" t="str">
        <v/>
      </c>
      <c r="Q17" s="50">
        <v>11</v>
      </c>
      <c r="R17" s="57">
        <v>13</v>
      </c>
      <c r="S17" s="51" t="str">
        <v>J</v>
      </c>
      <c r="U17" s="49">
        <v>32</v>
      </c>
      <c r="V17" s="4">
        <v>30</v>
      </c>
      <c r="W17" s="50" t="str">
        <f t="array" ref="W17:AC17">calc_deco(U17,V17)</f>
        <v/>
      </c>
      <c r="X17" s="50" t="str">
        <v/>
      </c>
      <c r="Y17" s="50" t="str">
        <v/>
      </c>
      <c r="Z17" s="50" t="str">
        <v/>
      </c>
      <c r="AA17" s="50">
        <v>14</v>
      </c>
      <c r="AB17" s="57">
        <v>17</v>
      </c>
      <c r="AC17" s="51" t="str">
        <v>J</v>
      </c>
    </row>
    <row r="18" spans="1:29">
      <c r="A18" s="46">
        <v>18</v>
      </c>
      <c r="B18" s="64">
        <v>70</v>
      </c>
      <c r="C18" s="47" t="str">
        <f t="array" ref="C18:I18">calc_deco(A18,B18)</f>
        <v/>
      </c>
      <c r="D18" s="47" t="str">
        <v/>
      </c>
      <c r="E18" s="47" t="str">
        <v/>
      </c>
      <c r="F18" s="47" t="str">
        <v/>
      </c>
      <c r="G18" s="47">
        <v>11</v>
      </c>
      <c r="H18" s="56">
        <v>13</v>
      </c>
      <c r="I18" s="48" t="str">
        <v>K</v>
      </c>
      <c r="K18" s="46">
        <v>25</v>
      </c>
      <c r="L18" s="64">
        <v>45</v>
      </c>
      <c r="M18" s="47" t="str">
        <f t="array" ref="M18:S18">calc_deco(K18,L18)</f>
        <v/>
      </c>
      <c r="N18" s="47" t="str">
        <v/>
      </c>
      <c r="O18" s="47" t="str">
        <v/>
      </c>
      <c r="P18" s="47" t="str">
        <v/>
      </c>
      <c r="Q18" s="47">
        <v>16</v>
      </c>
      <c r="R18" s="56">
        <v>18</v>
      </c>
      <c r="S18" s="48" t="str">
        <v>K</v>
      </c>
      <c r="U18" s="46">
        <v>32</v>
      </c>
      <c r="V18" s="64">
        <v>35</v>
      </c>
      <c r="W18" s="47" t="str">
        <f t="array" ref="W18:AC18">calc_deco(U18,V18)</f>
        <v/>
      </c>
      <c r="X18" s="47" t="str">
        <v/>
      </c>
      <c r="Y18" s="47" t="str">
        <v/>
      </c>
      <c r="Z18" s="47" t="str">
        <v/>
      </c>
      <c r="AA18" s="47">
        <v>22</v>
      </c>
      <c r="AB18" s="56">
        <v>25</v>
      </c>
      <c r="AC18" s="48" t="str">
        <v>K</v>
      </c>
    </row>
    <row r="19" spans="1:29">
      <c r="A19" s="49">
        <v>18</v>
      </c>
      <c r="B19" s="4">
        <v>75</v>
      </c>
      <c r="C19" s="50" t="str">
        <f t="array" ref="C19:I19">calc_deco(A19,B19)</f>
        <v/>
      </c>
      <c r="D19" s="50" t="str">
        <v/>
      </c>
      <c r="E19" s="50" t="str">
        <v/>
      </c>
      <c r="F19" s="50" t="str">
        <v/>
      </c>
      <c r="G19" s="50">
        <v>14</v>
      </c>
      <c r="H19" s="57">
        <v>16</v>
      </c>
      <c r="I19" s="51" t="str">
        <v>K</v>
      </c>
      <c r="K19" s="49">
        <v>25</v>
      </c>
      <c r="L19" s="4">
        <v>50</v>
      </c>
      <c r="M19" s="50" t="str">
        <f t="array" ref="M19:S19">calc_deco(K19,L19)</f>
        <v/>
      </c>
      <c r="N19" s="50" t="str">
        <v/>
      </c>
      <c r="O19" s="50" t="str">
        <v/>
      </c>
      <c r="P19" s="50" t="str">
        <v/>
      </c>
      <c r="Q19" s="50">
        <v>21</v>
      </c>
      <c r="R19" s="57">
        <v>23</v>
      </c>
      <c r="S19" s="51" t="str">
        <v>K</v>
      </c>
      <c r="U19" s="49">
        <v>32</v>
      </c>
      <c r="V19" s="4">
        <v>40</v>
      </c>
      <c r="W19" s="50" t="str">
        <f t="array" ref="W19:AC19">calc_deco(U19,V19)</f>
        <v/>
      </c>
      <c r="X19" s="50" t="str">
        <v/>
      </c>
      <c r="Y19" s="50" t="str">
        <v/>
      </c>
      <c r="Z19" s="50">
        <v>1</v>
      </c>
      <c r="AA19" s="50">
        <v>29</v>
      </c>
      <c r="AB19" s="57">
        <v>33</v>
      </c>
      <c r="AC19" s="51" t="str">
        <v>L</v>
      </c>
    </row>
    <row r="20" spans="1:29">
      <c r="A20" s="75">
        <v>18</v>
      </c>
      <c r="B20" s="76">
        <v>80</v>
      </c>
      <c r="C20" s="77" t="str">
        <f t="array" ref="C20:I20">calc_deco(A20,B20)</f>
        <v/>
      </c>
      <c r="D20" s="77" t="str">
        <v/>
      </c>
      <c r="E20" s="77" t="str">
        <v/>
      </c>
      <c r="F20" s="77" t="str">
        <v/>
      </c>
      <c r="G20" s="77">
        <v>18</v>
      </c>
      <c r="H20" s="78">
        <v>20</v>
      </c>
      <c r="I20" s="79" t="str">
        <v>L</v>
      </c>
      <c r="K20" s="46">
        <v>25</v>
      </c>
      <c r="L20" s="64">
        <v>55</v>
      </c>
      <c r="M20" s="47" t="str">
        <f t="array" ref="M20:S20">calc_deco(K20,L20)</f>
        <v/>
      </c>
      <c r="N20" s="47" t="str">
        <v/>
      </c>
      <c r="O20" s="47" t="str">
        <v/>
      </c>
      <c r="P20" s="47" t="str">
        <v/>
      </c>
      <c r="Q20" s="47">
        <v>27</v>
      </c>
      <c r="R20" s="56">
        <v>29</v>
      </c>
      <c r="S20" s="48" t="str">
        <v>L</v>
      </c>
      <c r="U20" s="46">
        <v>32</v>
      </c>
      <c r="V20" s="64">
        <v>45</v>
      </c>
      <c r="W20" s="47" t="str">
        <f t="array" ref="W20:AC20">calc_deco(U20,V20)</f>
        <v/>
      </c>
      <c r="X20" s="47" t="str">
        <v/>
      </c>
      <c r="Y20" s="47" t="str">
        <v/>
      </c>
      <c r="Z20" s="47">
        <v>4</v>
      </c>
      <c r="AA20" s="47">
        <v>34</v>
      </c>
      <c r="AB20" s="56">
        <v>41</v>
      </c>
      <c r="AC20" s="48" t="str">
        <v>L</v>
      </c>
    </row>
    <row r="21" spans="1:29">
      <c r="A21" s="70">
        <v>20</v>
      </c>
      <c r="B21" s="6">
        <v>10</v>
      </c>
      <c r="C21" s="72" t="str">
        <f t="array" ref="C21:I21">calc_deco(A21,B21)</f>
        <v/>
      </c>
      <c r="D21" s="72" t="str">
        <v/>
      </c>
      <c r="E21" s="72" t="str">
        <v/>
      </c>
      <c r="F21" s="72" t="str">
        <v/>
      </c>
      <c r="G21" s="72" t="str">
        <v/>
      </c>
      <c r="H21" s="73">
        <v>2</v>
      </c>
      <c r="I21" s="74" t="str">
        <v>C</v>
      </c>
      <c r="K21" s="49">
        <v>25</v>
      </c>
      <c r="L21" s="4">
        <v>60</v>
      </c>
      <c r="M21" s="50" t="str">
        <f t="array" ref="M21:S21">calc_deco(K21,L21)</f>
        <v/>
      </c>
      <c r="N21" s="50" t="str">
        <v/>
      </c>
      <c r="O21" s="50" t="str">
        <v/>
      </c>
      <c r="P21" s="50" t="str">
        <v/>
      </c>
      <c r="Q21" s="50">
        <v>33</v>
      </c>
      <c r="R21" s="57">
        <v>35</v>
      </c>
      <c r="S21" s="51" t="str">
        <v>L</v>
      </c>
      <c r="U21" s="52">
        <v>32</v>
      </c>
      <c r="V21" s="5">
        <v>50</v>
      </c>
      <c r="W21" s="53" t="str">
        <f t="array" ref="W21:AC21">calc_deco(U21,V21)</f>
        <v/>
      </c>
      <c r="X21" s="53" t="str">
        <v/>
      </c>
      <c r="Y21" s="53" t="str">
        <v/>
      </c>
      <c r="Z21" s="53">
        <v>7</v>
      </c>
      <c r="AA21" s="53">
        <v>39</v>
      </c>
      <c r="AB21" s="58">
        <v>49</v>
      </c>
      <c r="AC21" s="54" t="str">
        <v>M</v>
      </c>
    </row>
    <row r="22" spans="1:29">
      <c r="A22" s="46">
        <v>20</v>
      </c>
      <c r="B22" s="64">
        <v>20</v>
      </c>
      <c r="C22" s="47" t="str">
        <f t="array" ref="C22:I22">calc_deco(A22,B22)</f>
        <v/>
      </c>
      <c r="D22" s="47" t="str">
        <v/>
      </c>
      <c r="E22" s="47" t="str">
        <v/>
      </c>
      <c r="F22" s="47" t="str">
        <v/>
      </c>
      <c r="G22" s="47" t="str">
        <v/>
      </c>
      <c r="H22" s="56">
        <v>2</v>
      </c>
      <c r="I22" s="48" t="str">
        <v>D</v>
      </c>
      <c r="K22" s="46">
        <v>25</v>
      </c>
      <c r="L22" s="64">
        <v>65</v>
      </c>
      <c r="M22" s="47" t="str">
        <f t="array" ref="M22:S22">calc_deco(K22,L22)</f>
        <v/>
      </c>
      <c r="N22" s="47" t="str">
        <v/>
      </c>
      <c r="O22" s="47" t="str">
        <v/>
      </c>
      <c r="P22" s="47" t="str">
        <v/>
      </c>
      <c r="Q22" s="47">
        <v>37</v>
      </c>
      <c r="R22" s="56">
        <v>39</v>
      </c>
      <c r="S22" s="48" t="str">
        <v>M</v>
      </c>
      <c r="U22" s="80">
        <v>35</v>
      </c>
      <c r="V22" s="63">
        <v>5</v>
      </c>
      <c r="W22" s="81" t="str">
        <f t="array" ref="W22:AC22">calc_deco(U22,V22)</f>
        <v/>
      </c>
      <c r="X22" s="81" t="str">
        <v/>
      </c>
      <c r="Y22" s="81" t="str">
        <v/>
      </c>
      <c r="Z22" s="81" t="str">
        <v/>
      </c>
      <c r="AA22" s="81" t="str">
        <v/>
      </c>
      <c r="AB22" s="82">
        <v>3</v>
      </c>
      <c r="AC22" s="83" t="str">
        <v>C</v>
      </c>
    </row>
    <row r="23" spans="1:29">
      <c r="A23" s="49">
        <v>20</v>
      </c>
      <c r="B23" s="4">
        <v>30</v>
      </c>
      <c r="C23" s="50" t="str">
        <f t="array" ref="C23:I23">calc_deco(A23,B23)</f>
        <v/>
      </c>
      <c r="D23" s="50" t="str">
        <v/>
      </c>
      <c r="E23" s="50" t="str">
        <v/>
      </c>
      <c r="F23" s="50" t="str">
        <v/>
      </c>
      <c r="G23" s="50" t="str">
        <v/>
      </c>
      <c r="H23" s="57">
        <v>2</v>
      </c>
      <c r="I23" s="51" t="str">
        <v>F</v>
      </c>
      <c r="K23" s="70">
        <v>28</v>
      </c>
      <c r="L23" s="86">
        <v>10</v>
      </c>
      <c r="M23" s="72" t="str">
        <f t="array" ref="M23:S23">calc_deco(K23,L23)</f>
        <v/>
      </c>
      <c r="N23" s="72" t="str">
        <v/>
      </c>
      <c r="O23" s="72" t="str">
        <v/>
      </c>
      <c r="P23" s="72" t="str">
        <v/>
      </c>
      <c r="Q23" s="72" t="str">
        <v/>
      </c>
      <c r="R23" s="73">
        <v>2</v>
      </c>
      <c r="S23" s="74" t="str">
        <v>D</v>
      </c>
      <c r="U23" s="49">
        <v>35</v>
      </c>
      <c r="V23" s="4">
        <v>10</v>
      </c>
      <c r="W23" s="50" t="str">
        <f t="array" ref="W23:AC23">calc_deco(U23,V23)</f>
        <v/>
      </c>
      <c r="X23" s="50" t="str">
        <v/>
      </c>
      <c r="Y23" s="50" t="str">
        <v/>
      </c>
      <c r="Z23" s="50" t="str">
        <v/>
      </c>
      <c r="AA23" s="50">
        <v>1</v>
      </c>
      <c r="AB23" s="57">
        <v>4</v>
      </c>
      <c r="AC23" s="51" t="str">
        <v>D</v>
      </c>
    </row>
    <row r="24" spans="1:29">
      <c r="A24" s="46">
        <v>20</v>
      </c>
      <c r="B24" s="64">
        <v>40</v>
      </c>
      <c r="C24" s="47" t="str">
        <f t="array" ref="C24:I24">calc_deco(A24,B24)</f>
        <v/>
      </c>
      <c r="D24" s="47" t="str">
        <v/>
      </c>
      <c r="E24" s="47" t="str">
        <v/>
      </c>
      <c r="F24" s="47" t="str">
        <v/>
      </c>
      <c r="G24" s="47" t="str">
        <v/>
      </c>
      <c r="H24" s="56">
        <v>2</v>
      </c>
      <c r="I24" s="48" t="str">
        <v>H</v>
      </c>
      <c r="K24" s="46">
        <v>28</v>
      </c>
      <c r="L24" s="85">
        <v>20</v>
      </c>
      <c r="M24" s="47" t="str">
        <f t="array" ref="M24:S24">calc_deco(K24,L24)</f>
        <v/>
      </c>
      <c r="N24" s="47" t="str">
        <v/>
      </c>
      <c r="O24" s="47" t="str">
        <v/>
      </c>
      <c r="P24" s="47" t="str">
        <v/>
      </c>
      <c r="Q24" s="47">
        <v>1</v>
      </c>
      <c r="R24" s="56">
        <v>4</v>
      </c>
      <c r="S24" s="48" t="str">
        <v>F</v>
      </c>
      <c r="U24" s="46">
        <v>35</v>
      </c>
      <c r="V24" s="64">
        <v>15</v>
      </c>
      <c r="W24" s="47" t="str">
        <f t="array" ref="W24:AC24">calc_deco(U24,V24)</f>
        <v/>
      </c>
      <c r="X24" s="47" t="str">
        <v/>
      </c>
      <c r="Y24" s="47" t="str">
        <v/>
      </c>
      <c r="Z24" s="47" t="str">
        <v/>
      </c>
      <c r="AA24" s="47">
        <v>2</v>
      </c>
      <c r="AB24" s="56">
        <v>5</v>
      </c>
      <c r="AC24" s="48" t="str">
        <v>F</v>
      </c>
    </row>
    <row r="25" spans="1:29">
      <c r="A25" s="49">
        <v>20</v>
      </c>
      <c r="B25" s="4">
        <v>45</v>
      </c>
      <c r="C25" s="50" t="str">
        <f t="array" ref="C25:I25">calc_deco(A25,B25)</f>
        <v/>
      </c>
      <c r="D25" s="50" t="str">
        <v/>
      </c>
      <c r="E25" s="50" t="str">
        <v/>
      </c>
      <c r="F25" s="50" t="str">
        <v/>
      </c>
      <c r="G25" s="50">
        <v>1</v>
      </c>
      <c r="H25" s="57">
        <v>3</v>
      </c>
      <c r="I25" s="51" t="str">
        <v>I</v>
      </c>
      <c r="K25" s="49">
        <v>28</v>
      </c>
      <c r="L25" s="4">
        <v>25</v>
      </c>
      <c r="M25" s="50" t="str">
        <f t="array" ref="M25:S25">calc_deco(K25,L25)</f>
        <v/>
      </c>
      <c r="N25" s="50" t="str">
        <v/>
      </c>
      <c r="O25" s="50" t="str">
        <v/>
      </c>
      <c r="P25" s="50" t="str">
        <v/>
      </c>
      <c r="Q25" s="50">
        <v>3</v>
      </c>
      <c r="R25" s="57">
        <v>6</v>
      </c>
      <c r="S25" s="51" t="str">
        <v>G</v>
      </c>
      <c r="U25" s="49">
        <v>35</v>
      </c>
      <c r="V25" s="4">
        <v>20</v>
      </c>
      <c r="W25" s="50" t="str">
        <f t="array" ref="W25:AC25">calc_deco(U25,V25)</f>
        <v/>
      </c>
      <c r="X25" s="50" t="str">
        <v/>
      </c>
      <c r="Y25" s="50" t="str">
        <v/>
      </c>
      <c r="Z25" s="50" t="str">
        <v/>
      </c>
      <c r="AA25" s="50">
        <v>5</v>
      </c>
      <c r="AB25" s="57">
        <v>8</v>
      </c>
      <c r="AC25" s="51" t="str">
        <v>H</v>
      </c>
    </row>
    <row r="26" spans="1:29">
      <c r="A26" s="46">
        <v>20</v>
      </c>
      <c r="B26" s="64">
        <v>50</v>
      </c>
      <c r="C26" s="47" t="str">
        <f t="array" ref="C26:I26">calc_deco(A26,B26)</f>
        <v/>
      </c>
      <c r="D26" s="47" t="str">
        <v/>
      </c>
      <c r="E26" s="47" t="str">
        <v/>
      </c>
      <c r="F26" s="47" t="str">
        <v/>
      </c>
      <c r="G26" s="47">
        <v>5</v>
      </c>
      <c r="H26" s="56">
        <v>7</v>
      </c>
      <c r="I26" s="48" t="str">
        <v>I</v>
      </c>
      <c r="K26" s="46">
        <v>28</v>
      </c>
      <c r="L26" s="64">
        <v>30</v>
      </c>
      <c r="M26" s="47" t="str">
        <f t="array" ref="M26:S26">calc_deco(K26,L26)</f>
        <v/>
      </c>
      <c r="N26" s="47" t="str">
        <v/>
      </c>
      <c r="O26" s="47" t="str">
        <v/>
      </c>
      <c r="P26" s="47" t="str">
        <v/>
      </c>
      <c r="Q26" s="47">
        <v>6</v>
      </c>
      <c r="R26" s="56">
        <v>9</v>
      </c>
      <c r="S26" s="48" t="str">
        <v>H</v>
      </c>
      <c r="U26" s="46">
        <v>35</v>
      </c>
      <c r="V26" s="64">
        <v>25</v>
      </c>
      <c r="W26" s="47" t="str">
        <f t="array" ref="W26:AC26">calc_deco(U26,V26)</f>
        <v/>
      </c>
      <c r="X26" s="47" t="str">
        <v/>
      </c>
      <c r="Y26" s="47" t="str">
        <v/>
      </c>
      <c r="Z26" s="47" t="str">
        <v/>
      </c>
      <c r="AA26" s="47">
        <v>11</v>
      </c>
      <c r="AB26" s="56">
        <v>14</v>
      </c>
      <c r="AC26" s="48" t="str">
        <v>I</v>
      </c>
    </row>
    <row r="27" spans="1:29">
      <c r="A27" s="49">
        <v>20</v>
      </c>
      <c r="B27" s="4">
        <v>55</v>
      </c>
      <c r="C27" s="50" t="str">
        <f t="array" ref="C27:I27">calc_deco(A27,B27)</f>
        <v/>
      </c>
      <c r="D27" s="50" t="str">
        <v/>
      </c>
      <c r="E27" s="50" t="str">
        <v/>
      </c>
      <c r="F27" s="50" t="str">
        <v/>
      </c>
      <c r="G27" s="50">
        <v>9</v>
      </c>
      <c r="H27" s="57">
        <v>11</v>
      </c>
      <c r="I27" s="51" t="str">
        <v>J</v>
      </c>
      <c r="K27" s="49">
        <v>28</v>
      </c>
      <c r="L27" s="84">
        <v>35</v>
      </c>
      <c r="M27" s="50" t="str">
        <f t="array" ref="M27:S27">calc_deco(K27,L27)</f>
        <v/>
      </c>
      <c r="N27" s="50" t="str">
        <v/>
      </c>
      <c r="O27" s="50" t="str">
        <v/>
      </c>
      <c r="P27" s="50" t="str">
        <v/>
      </c>
      <c r="Q27" s="50">
        <v>12</v>
      </c>
      <c r="R27" s="57">
        <v>15</v>
      </c>
      <c r="S27" s="51" t="str">
        <v>J</v>
      </c>
      <c r="U27" s="49">
        <v>35</v>
      </c>
      <c r="V27" s="4">
        <v>30</v>
      </c>
      <c r="W27" s="50" t="str">
        <f t="array" ref="W27:AC27">calc_deco(U27,V27)</f>
        <v/>
      </c>
      <c r="X27" s="50" t="str">
        <v/>
      </c>
      <c r="Y27" s="50" t="str">
        <v/>
      </c>
      <c r="Z27" s="50">
        <v>1</v>
      </c>
      <c r="AA27" s="50">
        <v>20</v>
      </c>
      <c r="AB27" s="57">
        <v>24</v>
      </c>
      <c r="AC27" s="51" t="str">
        <v>J</v>
      </c>
    </row>
    <row r="28" spans="1:29">
      <c r="A28" s="46">
        <v>20</v>
      </c>
      <c r="B28" s="64">
        <v>60</v>
      </c>
      <c r="C28" s="47" t="str">
        <f t="array" ref="C28:I28">calc_deco(A28,B28)</f>
        <v/>
      </c>
      <c r="D28" s="47" t="str">
        <v/>
      </c>
      <c r="E28" s="47" t="str">
        <v/>
      </c>
      <c r="F28" s="47" t="str">
        <v/>
      </c>
      <c r="G28" s="47">
        <v>13</v>
      </c>
      <c r="H28" s="56">
        <v>15</v>
      </c>
      <c r="I28" s="48" t="str">
        <v>K</v>
      </c>
      <c r="K28" s="46">
        <v>28</v>
      </c>
      <c r="L28" s="85">
        <v>40</v>
      </c>
      <c r="M28" s="47" t="str">
        <f t="array" ref="M28:S28">calc_deco(K28,L28)</f>
        <v/>
      </c>
      <c r="N28" s="47" t="str">
        <v/>
      </c>
      <c r="O28" s="47" t="str">
        <v/>
      </c>
      <c r="P28" s="47" t="str">
        <v/>
      </c>
      <c r="Q28" s="47">
        <v>19</v>
      </c>
      <c r="R28" s="56">
        <v>22</v>
      </c>
      <c r="S28" s="48" t="str">
        <v>K</v>
      </c>
      <c r="U28" s="46">
        <v>35</v>
      </c>
      <c r="V28" s="64">
        <v>35</v>
      </c>
      <c r="W28" s="47" t="str">
        <f t="array" ref="W28:AC28">calc_deco(U28,V28)</f>
        <v/>
      </c>
      <c r="X28" s="47" t="str">
        <v/>
      </c>
      <c r="Y28" s="47" t="str">
        <v/>
      </c>
      <c r="Z28" s="47">
        <v>2</v>
      </c>
      <c r="AA28" s="47">
        <v>28</v>
      </c>
      <c r="AB28" s="56">
        <v>33</v>
      </c>
      <c r="AC28" s="48" t="str">
        <v>K</v>
      </c>
    </row>
    <row r="29" spans="1:29">
      <c r="A29" s="49">
        <v>20</v>
      </c>
      <c r="B29" s="4">
        <v>65</v>
      </c>
      <c r="C29" s="50" t="str">
        <f t="array" ref="C29:I29">calc_deco(A29,B29)</f>
        <v/>
      </c>
      <c r="D29" s="50" t="str">
        <v/>
      </c>
      <c r="E29" s="50" t="str">
        <v/>
      </c>
      <c r="F29" s="50" t="str">
        <v/>
      </c>
      <c r="G29" s="50">
        <v>16</v>
      </c>
      <c r="H29" s="57">
        <v>18</v>
      </c>
      <c r="I29" s="51" t="str">
        <v>K</v>
      </c>
      <c r="K29" s="49">
        <v>28</v>
      </c>
      <c r="L29" s="84">
        <v>45</v>
      </c>
      <c r="M29" s="50" t="str">
        <f t="array" ref="M29:S29">calc_deco(K29,L29)</f>
        <v/>
      </c>
      <c r="N29" s="50" t="str">
        <v/>
      </c>
      <c r="O29" s="50" t="str">
        <v/>
      </c>
      <c r="P29" s="50" t="str">
        <v/>
      </c>
      <c r="Q29" s="50">
        <v>25</v>
      </c>
      <c r="R29" s="57">
        <v>28</v>
      </c>
      <c r="S29" s="51" t="str">
        <v>K</v>
      </c>
      <c r="U29" s="49">
        <v>35</v>
      </c>
      <c r="V29" s="4">
        <v>40</v>
      </c>
      <c r="W29" s="50" t="str">
        <f t="array" ref="W29:AC29">calc_deco(U29,V29)</f>
        <v/>
      </c>
      <c r="X29" s="50" t="str">
        <v/>
      </c>
      <c r="Y29" s="50" t="str">
        <v/>
      </c>
      <c r="Z29" s="50">
        <v>5</v>
      </c>
      <c r="AA29" s="50">
        <v>34</v>
      </c>
      <c r="AB29" s="57">
        <v>42</v>
      </c>
      <c r="AC29" s="51" t="str">
        <v>L</v>
      </c>
    </row>
    <row r="30" spans="1:29">
      <c r="A30" s="46">
        <v>20</v>
      </c>
      <c r="B30" s="64">
        <v>70</v>
      </c>
      <c r="C30" s="47" t="str">
        <f t="array" ref="C30:I30">calc_deco(A30,B30)</f>
        <v/>
      </c>
      <c r="D30" s="47" t="str">
        <v/>
      </c>
      <c r="E30" s="47" t="str">
        <v/>
      </c>
      <c r="F30" s="47" t="str">
        <v/>
      </c>
      <c r="G30" s="47">
        <v>21</v>
      </c>
      <c r="H30" s="56">
        <v>23</v>
      </c>
      <c r="I30" s="48" t="str">
        <v>L</v>
      </c>
      <c r="K30" s="46">
        <v>28</v>
      </c>
      <c r="L30" s="85">
        <v>50</v>
      </c>
      <c r="M30" s="47" t="str">
        <f t="array" ref="M30:S30">calc_deco(K30,L30)</f>
        <v/>
      </c>
      <c r="N30" s="47" t="str">
        <v/>
      </c>
      <c r="O30" s="47" t="str">
        <v/>
      </c>
      <c r="P30" s="47" t="str">
        <v/>
      </c>
      <c r="Q30" s="47">
        <v>32</v>
      </c>
      <c r="R30" s="56">
        <v>35</v>
      </c>
      <c r="S30" s="48" t="str">
        <v>L</v>
      </c>
      <c r="U30" s="46">
        <v>35</v>
      </c>
      <c r="V30" s="64">
        <v>45</v>
      </c>
      <c r="W30" s="47" t="str">
        <f t="array" ref="W30:AC30">calc_deco(U30,V30)</f>
        <v/>
      </c>
      <c r="X30" s="47" t="str">
        <v/>
      </c>
      <c r="Y30" s="47" t="str">
        <v/>
      </c>
      <c r="Z30" s="47">
        <v>9</v>
      </c>
      <c r="AA30" s="47">
        <v>39</v>
      </c>
      <c r="AB30" s="56">
        <v>51</v>
      </c>
      <c r="AC30" s="48" t="str">
        <v>M</v>
      </c>
    </row>
    <row r="31" spans="1:29">
      <c r="A31" s="52">
        <v>20</v>
      </c>
      <c r="B31" s="5">
        <v>75</v>
      </c>
      <c r="C31" s="53" t="str">
        <f t="array" ref="C31:I31">calc_deco(A31,B31)</f>
        <v/>
      </c>
      <c r="D31" s="53" t="str">
        <v/>
      </c>
      <c r="E31" s="53" t="str">
        <v/>
      </c>
      <c r="F31" s="53" t="str">
        <v/>
      </c>
      <c r="G31" s="53">
        <v>24</v>
      </c>
      <c r="H31" s="58">
        <v>26</v>
      </c>
      <c r="I31" s="54" t="str">
        <v>L</v>
      </c>
      <c r="K31" s="52">
        <v>28</v>
      </c>
      <c r="L31" s="69">
        <v>55</v>
      </c>
      <c r="M31" s="53" t="str">
        <f t="array" ref="M31:S31">calc_deco(K31,L31)</f>
        <v/>
      </c>
      <c r="N31" s="53" t="str">
        <v/>
      </c>
      <c r="O31" s="53" t="str">
        <v/>
      </c>
      <c r="P31" s="53">
        <v>2</v>
      </c>
      <c r="Q31" s="53">
        <v>36</v>
      </c>
      <c r="R31" s="58">
        <v>41</v>
      </c>
      <c r="S31" s="54" t="str">
        <v>M</v>
      </c>
      <c r="U31" s="52">
        <v>35</v>
      </c>
      <c r="V31" s="5">
        <v>50</v>
      </c>
      <c r="W31" s="53" t="str">
        <f t="array" ref="W31:AC31">calc_deco(U31,V31)</f>
        <v/>
      </c>
      <c r="X31" s="53" t="str">
        <v/>
      </c>
      <c r="Y31" s="53" t="str">
        <v/>
      </c>
      <c r="Z31" s="53">
        <v>14</v>
      </c>
      <c r="AA31" s="53">
        <v>43</v>
      </c>
      <c r="AB31" s="58">
        <v>60</v>
      </c>
      <c r="AC31" s="54" t="str">
        <v>N</v>
      </c>
    </row>
    <row r="33" spans="1:29">
      <c r="A33" s="59" t="s">
        <v>32</v>
      </c>
      <c r="B33" s="60" t="s">
        <v>33</v>
      </c>
      <c r="C33" s="61" t="s">
        <v>25</v>
      </c>
      <c r="D33" s="61" t="s">
        <v>26</v>
      </c>
      <c r="E33" s="61" t="s">
        <v>27</v>
      </c>
      <c r="F33" s="61" t="s">
        <v>28</v>
      </c>
      <c r="G33" s="61" t="s">
        <v>29</v>
      </c>
      <c r="H33" s="62" t="s">
        <v>30</v>
      </c>
      <c r="I33" s="60" t="s">
        <v>3</v>
      </c>
      <c r="K33" s="59" t="s">
        <v>32</v>
      </c>
      <c r="L33" s="60" t="s">
        <v>33</v>
      </c>
      <c r="M33" s="61" t="s">
        <v>25</v>
      </c>
      <c r="N33" s="61" t="s">
        <v>26</v>
      </c>
      <c r="O33" s="61" t="s">
        <v>27</v>
      </c>
      <c r="P33" s="61" t="s">
        <v>28</v>
      </c>
      <c r="Q33" s="61" t="s">
        <v>29</v>
      </c>
      <c r="R33" s="62" t="s">
        <v>30</v>
      </c>
      <c r="S33" s="60" t="s">
        <v>3</v>
      </c>
      <c r="U33" s="59" t="s">
        <v>32</v>
      </c>
      <c r="V33" s="60" t="s">
        <v>33</v>
      </c>
      <c r="W33" s="61" t="s">
        <v>25</v>
      </c>
      <c r="X33" s="61" t="s">
        <v>26</v>
      </c>
      <c r="Y33" s="61" t="s">
        <v>27</v>
      </c>
      <c r="Z33" s="61" t="s">
        <v>28</v>
      </c>
      <c r="AA33" s="61" t="s">
        <v>29</v>
      </c>
      <c r="AB33" s="62" t="s">
        <v>30</v>
      </c>
      <c r="AC33" s="60" t="s">
        <v>3</v>
      </c>
    </row>
    <row r="34" spans="1:29">
      <c r="A34" s="80">
        <v>38</v>
      </c>
      <c r="B34" s="63">
        <v>5</v>
      </c>
      <c r="C34" s="47" t="str">
        <f t="array" ref="C34:I34">calc_deco(A34,B34)</f>
        <v/>
      </c>
      <c r="D34" s="47" t="str">
        <v/>
      </c>
      <c r="E34" s="47" t="str">
        <v/>
      </c>
      <c r="F34" s="47" t="str">
        <v/>
      </c>
      <c r="G34" s="47" t="str">
        <v/>
      </c>
      <c r="H34" s="56">
        <v>3</v>
      </c>
      <c r="I34" s="48" t="str">
        <v>C</v>
      </c>
      <c r="K34" s="80">
        <v>45</v>
      </c>
      <c r="L34" s="63">
        <v>5</v>
      </c>
      <c r="M34" s="81" t="str">
        <f t="array" ref="M34:S34">calc_deco(K34,L34)</f>
        <v/>
      </c>
      <c r="N34" s="81" t="str">
        <v/>
      </c>
      <c r="O34" s="81" t="str">
        <v/>
      </c>
      <c r="P34" s="81" t="str">
        <v/>
      </c>
      <c r="Q34" s="81" t="str">
        <v/>
      </c>
      <c r="R34" s="82">
        <v>3</v>
      </c>
      <c r="S34" s="83" t="str">
        <v>D</v>
      </c>
      <c r="U34" s="80">
        <v>55</v>
      </c>
      <c r="V34" s="63">
        <v>5</v>
      </c>
      <c r="W34" s="81" t="str">
        <f t="array" ref="W34:AC34">calc_deco(U34,V34)</f>
        <v/>
      </c>
      <c r="X34" s="81" t="str">
        <v/>
      </c>
      <c r="Y34" s="81" t="str">
        <v/>
      </c>
      <c r="Z34" s="81" t="str">
        <v/>
      </c>
      <c r="AA34" s="81">
        <v>2</v>
      </c>
      <c r="AB34" s="82">
        <v>6</v>
      </c>
      <c r="AC34" s="83" t="str">
        <v>D</v>
      </c>
    </row>
    <row r="35" spans="1:29">
      <c r="A35" s="49">
        <v>38</v>
      </c>
      <c r="B35" s="4">
        <v>10</v>
      </c>
      <c r="C35" s="50" t="str">
        <f t="array" ref="C35:I35">calc_deco(A35,B35)</f>
        <v/>
      </c>
      <c r="D35" s="50" t="str">
        <v/>
      </c>
      <c r="E35" s="50" t="str">
        <v/>
      </c>
      <c r="F35" s="50" t="str">
        <v/>
      </c>
      <c r="G35" s="50">
        <v>1</v>
      </c>
      <c r="H35" s="57">
        <v>4</v>
      </c>
      <c r="I35" s="51" t="str">
        <v>E</v>
      </c>
      <c r="K35" s="49">
        <v>45</v>
      </c>
      <c r="L35" s="4">
        <v>10</v>
      </c>
      <c r="M35" s="50" t="str">
        <f t="array" ref="M35:S35">calc_deco(K35,L35)</f>
        <v/>
      </c>
      <c r="N35" s="50" t="str">
        <v/>
      </c>
      <c r="O35" s="50" t="str">
        <v/>
      </c>
      <c r="P35" s="50" t="str">
        <v/>
      </c>
      <c r="Q35" s="50">
        <v>3</v>
      </c>
      <c r="R35" s="57">
        <v>7</v>
      </c>
      <c r="S35" s="51" t="str">
        <v>F</v>
      </c>
      <c r="U35" s="49">
        <v>55</v>
      </c>
      <c r="V35" s="4">
        <v>10</v>
      </c>
      <c r="W35" s="50" t="str">
        <f t="array" ref="W35:AC35">calc_deco(U35,V35)</f>
        <v/>
      </c>
      <c r="X35" s="50" t="str">
        <v/>
      </c>
      <c r="Y35" s="50" t="str">
        <v/>
      </c>
      <c r="Z35" s="50">
        <v>1</v>
      </c>
      <c r="AA35" s="50">
        <v>5</v>
      </c>
      <c r="AB35" s="57">
        <v>11</v>
      </c>
      <c r="AC35" s="51" t="str">
        <v>G</v>
      </c>
    </row>
    <row r="36" spans="1:29">
      <c r="A36" s="46">
        <v>38</v>
      </c>
      <c r="B36" s="64">
        <v>15</v>
      </c>
      <c r="C36" s="47" t="str">
        <f t="array" ref="C36:I36">calc_deco(A36,B36)</f>
        <v/>
      </c>
      <c r="D36" s="47" t="str">
        <v/>
      </c>
      <c r="E36" s="47" t="str">
        <v/>
      </c>
      <c r="F36" s="47" t="str">
        <v/>
      </c>
      <c r="G36" s="47">
        <v>4</v>
      </c>
      <c r="H36" s="56">
        <v>7</v>
      </c>
      <c r="I36" s="48" t="str">
        <v>F</v>
      </c>
      <c r="K36" s="46">
        <v>45</v>
      </c>
      <c r="L36" s="64">
        <v>15</v>
      </c>
      <c r="M36" s="47" t="str">
        <f t="array" ref="M36:S36">calc_deco(K36,L36)</f>
        <v/>
      </c>
      <c r="N36" s="47" t="str">
        <v/>
      </c>
      <c r="O36" s="47" t="str">
        <v/>
      </c>
      <c r="P36" s="47">
        <v>1</v>
      </c>
      <c r="Q36" s="47">
        <v>6</v>
      </c>
      <c r="R36" s="56">
        <v>11</v>
      </c>
      <c r="S36" s="48" t="str">
        <v>H</v>
      </c>
      <c r="U36" s="46">
        <v>55</v>
      </c>
      <c r="V36" s="64">
        <v>15</v>
      </c>
      <c r="W36" s="47" t="str">
        <f t="array" ref="W36:AC36">calc_deco(U36,V36)</f>
        <v/>
      </c>
      <c r="X36" s="47" t="str">
        <v/>
      </c>
      <c r="Y36" s="47" t="str">
        <v/>
      </c>
      <c r="Z36" s="47">
        <v>4</v>
      </c>
      <c r="AA36" s="47">
        <v>13</v>
      </c>
      <c r="AB36" s="56">
        <v>22</v>
      </c>
      <c r="AC36" s="48" t="str">
        <v>I</v>
      </c>
    </row>
    <row r="37" spans="1:29">
      <c r="A37" s="49">
        <v>38</v>
      </c>
      <c r="B37" s="4">
        <v>20</v>
      </c>
      <c r="C37" s="50" t="str">
        <f t="array" ref="C37:I37">calc_deco(A37,B37)</f>
        <v/>
      </c>
      <c r="D37" s="50" t="str">
        <v/>
      </c>
      <c r="E37" s="50" t="str">
        <v/>
      </c>
      <c r="F37" s="50" t="str">
        <v/>
      </c>
      <c r="G37" s="50">
        <v>8</v>
      </c>
      <c r="H37" s="57">
        <v>11</v>
      </c>
      <c r="I37" s="51" t="str">
        <v>H</v>
      </c>
      <c r="K37" s="49">
        <v>45</v>
      </c>
      <c r="L37" s="4">
        <v>20</v>
      </c>
      <c r="M37" s="50" t="str">
        <f t="array" ref="M37:S37">calc_deco(K37,L37)</f>
        <v/>
      </c>
      <c r="N37" s="50" t="str">
        <v/>
      </c>
      <c r="O37" s="50" t="str">
        <v/>
      </c>
      <c r="P37" s="50">
        <v>3</v>
      </c>
      <c r="Q37" s="50">
        <v>15</v>
      </c>
      <c r="R37" s="57">
        <v>22</v>
      </c>
      <c r="S37" s="51" t="str">
        <v>J</v>
      </c>
      <c r="U37" s="49">
        <v>55</v>
      </c>
      <c r="V37" s="4">
        <v>20</v>
      </c>
      <c r="W37" s="50" t="str">
        <f t="array" ref="W37:AC37">calc_deco(U37,V37)</f>
        <v/>
      </c>
      <c r="X37" s="50" t="str">
        <v/>
      </c>
      <c r="Y37" s="50">
        <v>1</v>
      </c>
      <c r="Z37" s="50">
        <v>6</v>
      </c>
      <c r="AA37" s="50">
        <v>27</v>
      </c>
      <c r="AB37" s="57">
        <v>39</v>
      </c>
      <c r="AC37" s="51" t="str">
        <v>K</v>
      </c>
    </row>
    <row r="38" spans="1:29">
      <c r="A38" s="46">
        <v>38</v>
      </c>
      <c r="B38" s="64">
        <v>25</v>
      </c>
      <c r="C38" s="47" t="str">
        <f t="array" ref="C38:I38">calc_deco(A38,B38)</f>
        <v/>
      </c>
      <c r="D38" s="47" t="str">
        <v/>
      </c>
      <c r="E38" s="47" t="str">
        <v/>
      </c>
      <c r="F38" s="47">
        <v>1</v>
      </c>
      <c r="G38" s="47">
        <v>16</v>
      </c>
      <c r="H38" s="56">
        <v>21</v>
      </c>
      <c r="I38" s="48" t="str">
        <v>J</v>
      </c>
      <c r="K38" s="46">
        <v>45</v>
      </c>
      <c r="L38" s="64">
        <v>25</v>
      </c>
      <c r="M38" s="47" t="str">
        <f t="array" ref="M38:S38">calc_deco(K38,L38)</f>
        <v/>
      </c>
      <c r="N38" s="47" t="str">
        <v/>
      </c>
      <c r="O38" s="47" t="str">
        <v/>
      </c>
      <c r="P38" s="47">
        <v>5</v>
      </c>
      <c r="Q38" s="47">
        <v>25</v>
      </c>
      <c r="R38" s="56">
        <v>34</v>
      </c>
      <c r="S38" s="48" t="str">
        <v>K</v>
      </c>
      <c r="U38" s="75">
        <v>55</v>
      </c>
      <c r="V38" s="76">
        <v>25</v>
      </c>
      <c r="W38" s="77" t="str">
        <f t="array" ref="W38:AC38">calc_deco(U38,V38)</f>
        <v/>
      </c>
      <c r="X38" s="77" t="str">
        <v/>
      </c>
      <c r="Y38" s="77">
        <v>3</v>
      </c>
      <c r="Z38" s="77">
        <v>11</v>
      </c>
      <c r="AA38" s="77">
        <v>37</v>
      </c>
      <c r="AB38" s="78">
        <v>56</v>
      </c>
      <c r="AC38" s="79" t="str">
        <v>M</v>
      </c>
    </row>
    <row r="39" spans="1:29">
      <c r="A39" s="49">
        <v>38</v>
      </c>
      <c r="B39" s="4">
        <v>30</v>
      </c>
      <c r="C39" s="50" t="str">
        <f t="array" ref="C39:I39">calc_deco(A39,B39)</f>
        <v/>
      </c>
      <c r="D39" s="50" t="str">
        <v/>
      </c>
      <c r="E39" s="50" t="str">
        <v/>
      </c>
      <c r="F39" s="50">
        <v>3</v>
      </c>
      <c r="G39" s="50">
        <v>24</v>
      </c>
      <c r="H39" s="57">
        <v>31</v>
      </c>
      <c r="I39" s="51" t="str">
        <v>K</v>
      </c>
      <c r="K39" s="49">
        <v>45</v>
      </c>
      <c r="L39" s="4">
        <v>30</v>
      </c>
      <c r="M39" s="50" t="str">
        <f t="array" ref="M39:S39">calc_deco(K39,L39)</f>
        <v/>
      </c>
      <c r="N39" s="50" t="str">
        <v/>
      </c>
      <c r="O39" s="50" t="str">
        <v/>
      </c>
      <c r="P39" s="50">
        <v>9</v>
      </c>
      <c r="Q39" s="50">
        <v>35</v>
      </c>
      <c r="R39" s="57">
        <v>48</v>
      </c>
      <c r="S39" s="51" t="str">
        <v>L</v>
      </c>
      <c r="U39" s="49">
        <v>58</v>
      </c>
      <c r="V39" s="4">
        <v>5</v>
      </c>
      <c r="W39" s="50" t="str">
        <f t="array" ref="W39:AC39">calc_deco(U39,V39)</f>
        <v/>
      </c>
      <c r="X39" s="50" t="str">
        <v/>
      </c>
      <c r="Y39" s="50" t="str">
        <v/>
      </c>
      <c r="Z39" s="50" t="str">
        <v/>
      </c>
      <c r="AA39" s="50">
        <v>2</v>
      </c>
      <c r="AB39" s="57">
        <v>7</v>
      </c>
      <c r="AC39" s="51" t="str">
        <v>E</v>
      </c>
    </row>
    <row r="40" spans="1:29">
      <c r="A40" s="46">
        <v>38</v>
      </c>
      <c r="B40" s="64">
        <v>35</v>
      </c>
      <c r="C40" s="47" t="str">
        <f t="array" ref="C40:I40">calc_deco(A40,B40)</f>
        <v/>
      </c>
      <c r="D40" s="47" t="str">
        <v/>
      </c>
      <c r="E40" s="47" t="str">
        <v/>
      </c>
      <c r="F40" s="47">
        <v>5</v>
      </c>
      <c r="G40" s="47">
        <v>33</v>
      </c>
      <c r="H40" s="56">
        <v>42</v>
      </c>
      <c r="I40" s="48" t="str">
        <v>L</v>
      </c>
      <c r="K40" s="46">
        <v>45</v>
      </c>
      <c r="L40" s="64">
        <v>35</v>
      </c>
      <c r="M40" s="47" t="str">
        <f t="array" ref="M40:S40">calc_deco(K40,L40)</f>
        <v/>
      </c>
      <c r="N40" s="47" t="str">
        <v/>
      </c>
      <c r="O40" s="47">
        <v>1</v>
      </c>
      <c r="P40" s="47">
        <v>15</v>
      </c>
      <c r="Q40" s="47">
        <v>40</v>
      </c>
      <c r="R40" s="56">
        <v>60</v>
      </c>
      <c r="S40" s="48" t="str">
        <v>M</v>
      </c>
      <c r="U40" s="46">
        <v>58</v>
      </c>
      <c r="V40" s="64">
        <v>10</v>
      </c>
      <c r="W40" s="47" t="str">
        <f t="array" ref="W40:AC40">calc_deco(U40,V40)</f>
        <v/>
      </c>
      <c r="X40" s="47" t="str">
        <v/>
      </c>
      <c r="Y40" s="47" t="str">
        <v/>
      </c>
      <c r="Z40" s="47">
        <v>2</v>
      </c>
      <c r="AA40" s="47">
        <v>5</v>
      </c>
      <c r="AB40" s="56">
        <v>12</v>
      </c>
      <c r="AC40" s="48" t="str">
        <v>G</v>
      </c>
    </row>
    <row r="41" spans="1:29">
      <c r="A41" s="49">
        <v>38</v>
      </c>
      <c r="B41" s="4">
        <v>40</v>
      </c>
      <c r="C41" s="50" t="str">
        <f t="array" ref="C41:I41">calc_deco(A41,B41)</f>
        <v/>
      </c>
      <c r="D41" s="50" t="str">
        <v/>
      </c>
      <c r="E41" s="50" t="str">
        <v/>
      </c>
      <c r="F41" s="50">
        <v>10</v>
      </c>
      <c r="G41" s="50">
        <v>38</v>
      </c>
      <c r="H41" s="57">
        <v>52</v>
      </c>
      <c r="I41" s="51" t="str">
        <v>M</v>
      </c>
      <c r="K41" s="52">
        <v>45</v>
      </c>
      <c r="L41" s="5">
        <v>40</v>
      </c>
      <c r="M41" s="53" t="str">
        <f t="array" ref="M41:S41">calc_deco(K41,L41)</f>
        <v/>
      </c>
      <c r="N41" s="53" t="str">
        <v/>
      </c>
      <c r="O41" s="53">
        <v>4</v>
      </c>
      <c r="P41" s="53">
        <v>19</v>
      </c>
      <c r="Q41" s="53">
        <v>46</v>
      </c>
      <c r="R41" s="58">
        <v>73</v>
      </c>
      <c r="S41" s="54" t="str">
        <v>N</v>
      </c>
      <c r="U41" s="49">
        <v>58</v>
      </c>
      <c r="V41" s="4">
        <v>15</v>
      </c>
      <c r="W41" s="50" t="str">
        <f t="array" ref="W41:AC41">calc_deco(U41,V41)</f>
        <v/>
      </c>
      <c r="X41" s="50" t="str">
        <v/>
      </c>
      <c r="Y41" s="50">
        <v>1</v>
      </c>
      <c r="Z41" s="50">
        <v>3</v>
      </c>
      <c r="AA41" s="50">
        <v>17</v>
      </c>
      <c r="AB41" s="57">
        <v>26</v>
      </c>
      <c r="AC41" s="51" t="str">
        <v>J</v>
      </c>
    </row>
    <row r="42" spans="1:29">
      <c r="A42" s="80">
        <v>40</v>
      </c>
      <c r="B42" s="63">
        <v>5</v>
      </c>
      <c r="C42" s="81" t="str">
        <f t="array" ref="C42:I42">calc_deco(A42,B42)</f>
        <v/>
      </c>
      <c r="D42" s="81" t="str">
        <v/>
      </c>
      <c r="E42" s="81" t="str">
        <v/>
      </c>
      <c r="F42" s="81" t="str">
        <v/>
      </c>
      <c r="G42" s="81" t="str">
        <v/>
      </c>
      <c r="H42" s="82">
        <v>3</v>
      </c>
      <c r="I42" s="83" t="str">
        <v>C</v>
      </c>
      <c r="K42" s="80">
        <v>48</v>
      </c>
      <c r="L42" s="87">
        <v>5</v>
      </c>
      <c r="M42" s="81" t="str">
        <f t="array" ref="M42:S42">calc_deco(K42,L42)</f>
        <v/>
      </c>
      <c r="N42" s="81" t="str">
        <v/>
      </c>
      <c r="O42" s="81" t="str">
        <v/>
      </c>
      <c r="P42" s="81" t="str">
        <v/>
      </c>
      <c r="Q42" s="81" t="str">
        <v/>
      </c>
      <c r="R42" s="82">
        <v>4</v>
      </c>
      <c r="S42" s="83" t="str">
        <v>D</v>
      </c>
      <c r="U42" s="75">
        <v>58</v>
      </c>
      <c r="V42" s="76">
        <v>20</v>
      </c>
      <c r="W42" s="47" t="str">
        <f t="array" ref="W42:AC42">calc_deco(U42,V42)</f>
        <v/>
      </c>
      <c r="X42" s="47" t="str">
        <v/>
      </c>
      <c r="Y42" s="47">
        <v>2</v>
      </c>
      <c r="Z42" s="47">
        <v>7</v>
      </c>
      <c r="AA42" s="47">
        <v>31</v>
      </c>
      <c r="AB42" s="56">
        <v>45</v>
      </c>
      <c r="AC42" s="48" t="str">
        <v>L</v>
      </c>
    </row>
    <row r="43" spans="1:29">
      <c r="A43" s="49">
        <v>40</v>
      </c>
      <c r="B43" s="4">
        <v>10</v>
      </c>
      <c r="C43" s="50" t="str">
        <f t="array" ref="C43:I43">calc_deco(A43,B43)</f>
        <v/>
      </c>
      <c r="D43" s="50" t="str">
        <v/>
      </c>
      <c r="E43" s="50" t="str">
        <v/>
      </c>
      <c r="F43" s="50" t="str">
        <v/>
      </c>
      <c r="G43" s="50">
        <v>2</v>
      </c>
      <c r="H43" s="57">
        <v>5</v>
      </c>
      <c r="I43" s="51" t="str">
        <v>E</v>
      </c>
      <c r="K43" s="49">
        <v>48</v>
      </c>
      <c r="L43" s="84">
        <v>10</v>
      </c>
      <c r="M43" s="50" t="str">
        <f t="array" ref="M43:S43">calc_deco(K43,L43)</f>
        <v/>
      </c>
      <c r="N43" s="50" t="str">
        <v/>
      </c>
      <c r="O43" s="50" t="str">
        <v/>
      </c>
      <c r="P43" s="50" t="str">
        <v/>
      </c>
      <c r="Q43" s="50">
        <v>4</v>
      </c>
      <c r="R43" s="57">
        <v>8</v>
      </c>
      <c r="S43" s="51" t="str">
        <v>F</v>
      </c>
      <c r="U43" s="70">
        <v>60</v>
      </c>
      <c r="V43" s="6">
        <v>5</v>
      </c>
      <c r="W43" s="72" t="str">
        <f t="array" ref="W43:AC43">calc_deco(U43,V43)</f>
        <v/>
      </c>
      <c r="X43" s="72" t="str">
        <v/>
      </c>
      <c r="Y43" s="72" t="str">
        <v/>
      </c>
      <c r="Z43" s="72" t="str">
        <v/>
      </c>
      <c r="AA43" s="72">
        <v>3</v>
      </c>
      <c r="AB43" s="73">
        <v>8</v>
      </c>
      <c r="AC43" s="74" t="str">
        <v>E</v>
      </c>
    </row>
    <row r="44" spans="1:29">
      <c r="A44" s="46">
        <v>40</v>
      </c>
      <c r="B44" s="64">
        <v>15</v>
      </c>
      <c r="C44" s="47" t="str">
        <f t="array" ref="C44:I44">calc_deco(A44,B44)</f>
        <v/>
      </c>
      <c r="D44" s="47" t="str">
        <v/>
      </c>
      <c r="E44" s="47" t="str">
        <v/>
      </c>
      <c r="F44" s="47" t="str">
        <v/>
      </c>
      <c r="G44" s="47">
        <v>5</v>
      </c>
      <c r="H44" s="56">
        <v>8</v>
      </c>
      <c r="I44" s="48" t="str">
        <v>G</v>
      </c>
      <c r="K44" s="46">
        <v>48</v>
      </c>
      <c r="L44" s="85">
        <v>15</v>
      </c>
      <c r="M44" s="47" t="str">
        <f t="array" ref="M44:S44">calc_deco(K44,L44)</f>
        <v/>
      </c>
      <c r="N44" s="47" t="str">
        <v/>
      </c>
      <c r="O44" s="47" t="str">
        <v/>
      </c>
      <c r="P44" s="47">
        <v>2</v>
      </c>
      <c r="Q44" s="47">
        <v>8</v>
      </c>
      <c r="R44" s="56">
        <v>14</v>
      </c>
      <c r="S44" s="48" t="str">
        <v>H</v>
      </c>
      <c r="U44" s="46">
        <v>60</v>
      </c>
      <c r="V44" s="64">
        <v>10</v>
      </c>
      <c r="W44" s="47" t="str">
        <f t="array" ref="W44:AC44">calc_deco(U44,V44)</f>
        <v/>
      </c>
      <c r="X44" s="47" t="str">
        <v/>
      </c>
      <c r="Y44" s="47" t="str">
        <v/>
      </c>
      <c r="Z44" s="47">
        <v>2</v>
      </c>
      <c r="AA44" s="47">
        <v>6</v>
      </c>
      <c r="AB44" s="56">
        <v>13</v>
      </c>
      <c r="AC44" s="48" t="str">
        <v>H</v>
      </c>
    </row>
    <row r="45" spans="1:29">
      <c r="A45" s="49">
        <v>40</v>
      </c>
      <c r="B45" s="4">
        <v>20</v>
      </c>
      <c r="C45" s="50" t="str">
        <f t="array" ref="C45:I45">calc_deco(A45,B45)</f>
        <v/>
      </c>
      <c r="D45" s="50" t="str">
        <v/>
      </c>
      <c r="E45" s="50" t="str">
        <v/>
      </c>
      <c r="F45" s="50">
        <v>1</v>
      </c>
      <c r="G45" s="50">
        <v>9</v>
      </c>
      <c r="H45" s="57">
        <v>14</v>
      </c>
      <c r="I45" s="51" t="str">
        <v>I</v>
      </c>
      <c r="K45" s="49">
        <v>48</v>
      </c>
      <c r="L45" s="84">
        <v>20</v>
      </c>
      <c r="M45" s="50" t="str">
        <f t="array" ref="M45:S45">calc_deco(K45,L45)</f>
        <v/>
      </c>
      <c r="N45" s="50" t="str">
        <v/>
      </c>
      <c r="O45" s="50" t="str">
        <v/>
      </c>
      <c r="P45" s="50">
        <v>4</v>
      </c>
      <c r="Q45" s="50">
        <v>19</v>
      </c>
      <c r="R45" s="57">
        <v>27</v>
      </c>
      <c r="S45" s="51" t="str">
        <v>J</v>
      </c>
      <c r="U45" s="49">
        <v>60</v>
      </c>
      <c r="V45" s="4">
        <v>15</v>
      </c>
      <c r="W45" s="50" t="str">
        <f t="array" ref="W45:AC45">calc_deco(U45,V45)</f>
        <v/>
      </c>
      <c r="X45" s="50" t="str">
        <v/>
      </c>
      <c r="Y45" s="50">
        <v>1</v>
      </c>
      <c r="Z45" s="50">
        <v>4</v>
      </c>
      <c r="AA45" s="50">
        <v>19</v>
      </c>
      <c r="AB45" s="57">
        <v>29</v>
      </c>
      <c r="AC45" s="51" t="str">
        <v>J</v>
      </c>
    </row>
    <row r="46" spans="1:29">
      <c r="A46" s="46">
        <v>40</v>
      </c>
      <c r="B46" s="64">
        <v>25</v>
      </c>
      <c r="C46" s="47" t="str">
        <f t="array" ref="C46:I46">calc_deco(A46,B46)</f>
        <v/>
      </c>
      <c r="D46" s="47" t="str">
        <v/>
      </c>
      <c r="E46" s="47" t="str">
        <v/>
      </c>
      <c r="F46" s="47">
        <v>2</v>
      </c>
      <c r="G46" s="47">
        <v>19</v>
      </c>
      <c r="H46" s="56">
        <v>25</v>
      </c>
      <c r="I46" s="48" t="str">
        <v>J</v>
      </c>
      <c r="K46" s="46">
        <v>48</v>
      </c>
      <c r="L46" s="85">
        <v>25</v>
      </c>
      <c r="M46" s="47" t="str">
        <f t="array" ref="M46:S46">calc_deco(K46,L46)</f>
        <v/>
      </c>
      <c r="N46" s="47" t="str">
        <v/>
      </c>
      <c r="O46" s="47">
        <v>1</v>
      </c>
      <c r="P46" s="47">
        <v>6</v>
      </c>
      <c r="Q46" s="47">
        <v>30</v>
      </c>
      <c r="R46" s="56">
        <v>42</v>
      </c>
      <c r="S46" s="48" t="str">
        <v>L</v>
      </c>
      <c r="U46" s="75">
        <v>60</v>
      </c>
      <c r="V46" s="76">
        <v>20</v>
      </c>
      <c r="W46" s="77" t="str">
        <f t="array" ref="W46:AC46">calc_deco(U46,V46)</f>
        <v/>
      </c>
      <c r="X46" s="77" t="str">
        <v/>
      </c>
      <c r="Y46" s="77">
        <v>3</v>
      </c>
      <c r="Z46" s="77">
        <v>8</v>
      </c>
      <c r="AA46" s="77">
        <v>33</v>
      </c>
      <c r="AB46" s="78">
        <v>49</v>
      </c>
      <c r="AC46" s="79" t="str">
        <v>L</v>
      </c>
    </row>
    <row r="47" spans="1:29">
      <c r="A47" s="49">
        <v>40</v>
      </c>
      <c r="B47" s="4">
        <v>30</v>
      </c>
      <c r="C47" s="50" t="str">
        <f t="array" ref="C47:I47">calc_deco(A47,B47)</f>
        <v/>
      </c>
      <c r="D47" s="50" t="str">
        <v/>
      </c>
      <c r="E47" s="50" t="str">
        <v/>
      </c>
      <c r="F47" s="50">
        <v>4</v>
      </c>
      <c r="G47" s="50">
        <v>28</v>
      </c>
      <c r="H47" s="57">
        <v>36</v>
      </c>
      <c r="I47" s="51" t="str">
        <v>K</v>
      </c>
      <c r="K47" s="49">
        <v>48</v>
      </c>
      <c r="L47" s="84">
        <v>30</v>
      </c>
      <c r="M47" s="50" t="str">
        <f t="array" ref="M47:S47">calc_deco(K47,L47)</f>
        <v/>
      </c>
      <c r="N47" s="50" t="str">
        <v/>
      </c>
      <c r="O47" s="50">
        <v>2</v>
      </c>
      <c r="P47" s="50">
        <v>11</v>
      </c>
      <c r="Q47" s="50">
        <v>38</v>
      </c>
      <c r="R47" s="57">
        <v>56</v>
      </c>
      <c r="S47" s="51" t="str">
        <v>M</v>
      </c>
      <c r="U47" s="70">
        <v>62</v>
      </c>
      <c r="V47" s="71">
        <v>5</v>
      </c>
      <c r="W47" s="72" t="str">
        <f t="array" ref="W47:AC47">calc_deco(U47,V47)</f>
        <v/>
      </c>
      <c r="X47" s="72" t="str">
        <v/>
      </c>
      <c r="Y47" s="72" t="str">
        <v/>
      </c>
      <c r="Z47" s="72" t="str">
        <v/>
      </c>
      <c r="AA47" s="72">
        <v>3</v>
      </c>
      <c r="AB47" s="73">
        <v>8</v>
      </c>
      <c r="AC47" s="74" t="str">
        <v>E</v>
      </c>
    </row>
    <row r="48" spans="1:29">
      <c r="A48" s="46">
        <v>40</v>
      </c>
      <c r="B48" s="64">
        <v>35</v>
      </c>
      <c r="C48" s="47" t="str">
        <f t="array" ref="C48:I48">calc_deco(A48,B48)</f>
        <v/>
      </c>
      <c r="D48" s="47" t="str">
        <v/>
      </c>
      <c r="E48" s="47" t="str">
        <v/>
      </c>
      <c r="F48" s="47">
        <v>8</v>
      </c>
      <c r="G48" s="47">
        <v>35</v>
      </c>
      <c r="H48" s="56">
        <v>47</v>
      </c>
      <c r="I48" s="48" t="str">
        <v>L</v>
      </c>
      <c r="K48" s="46">
        <v>48</v>
      </c>
      <c r="L48" s="85">
        <v>35</v>
      </c>
      <c r="M48" s="47" t="str">
        <f t="array" ref="M48:S48">calc_deco(K48,L48)</f>
        <v/>
      </c>
      <c r="N48" s="47" t="str">
        <v/>
      </c>
      <c r="O48" s="47">
        <v>4</v>
      </c>
      <c r="P48" s="47">
        <v>17</v>
      </c>
      <c r="Q48" s="47">
        <v>44</v>
      </c>
      <c r="R48" s="56">
        <v>70</v>
      </c>
      <c r="S48" s="48" t="str">
        <v>N</v>
      </c>
      <c r="U48" s="46">
        <v>62</v>
      </c>
      <c r="V48" s="68">
        <v>10</v>
      </c>
      <c r="W48" s="47" t="str">
        <f t="array" ref="W48:AC48">calc_deco(U48,V48)</f>
        <v/>
      </c>
      <c r="X48" s="47" t="str">
        <v/>
      </c>
      <c r="Y48" s="47" t="str">
        <v/>
      </c>
      <c r="Z48" s="47">
        <v>3</v>
      </c>
      <c r="AA48" s="47">
        <v>7</v>
      </c>
      <c r="AB48" s="56">
        <v>15</v>
      </c>
      <c r="AC48" s="48" t="str">
        <v>H</v>
      </c>
    </row>
    <row r="49" spans="1:29">
      <c r="A49" s="52">
        <v>40</v>
      </c>
      <c r="B49" s="5">
        <v>40</v>
      </c>
      <c r="C49" s="53" t="str">
        <f t="array" ref="C49:I49">calc_deco(A49,B49)</f>
        <v/>
      </c>
      <c r="D49" s="53" t="str">
        <v/>
      </c>
      <c r="E49" s="53" t="str">
        <v/>
      </c>
      <c r="F49" s="53">
        <v>13</v>
      </c>
      <c r="G49" s="53">
        <v>40</v>
      </c>
      <c r="H49" s="58">
        <v>57</v>
      </c>
      <c r="I49" s="54" t="str">
        <v>M</v>
      </c>
      <c r="K49" s="70">
        <v>50</v>
      </c>
      <c r="L49" s="6">
        <v>5</v>
      </c>
      <c r="M49" s="72" t="str">
        <f t="array" ref="M49:S49">calc_deco(K49,L49)</f>
        <v/>
      </c>
      <c r="N49" s="72" t="str">
        <v/>
      </c>
      <c r="O49" s="72" t="str">
        <v/>
      </c>
      <c r="P49" s="72" t="str">
        <v/>
      </c>
      <c r="Q49" s="72">
        <v>1</v>
      </c>
      <c r="R49" s="73">
        <v>5</v>
      </c>
      <c r="S49" s="74" t="str">
        <v>D</v>
      </c>
      <c r="U49" s="52">
        <v>62</v>
      </c>
      <c r="V49" s="69">
        <v>15</v>
      </c>
      <c r="W49" s="53" t="str">
        <f t="array" ref="W49:AC49">calc_deco(U49,V49)</f>
        <v/>
      </c>
      <c r="X49" s="53" t="str">
        <v/>
      </c>
      <c r="Y49" s="53">
        <v>2</v>
      </c>
      <c r="Z49" s="53">
        <v>4</v>
      </c>
      <c r="AA49" s="53">
        <v>21</v>
      </c>
      <c r="AB49" s="58">
        <v>33</v>
      </c>
      <c r="AC49" s="54" t="str">
        <v>J</v>
      </c>
    </row>
    <row r="50" spans="1:29">
      <c r="A50" s="80">
        <v>42</v>
      </c>
      <c r="B50" s="63">
        <v>5</v>
      </c>
      <c r="C50" s="81" t="str">
        <f t="array" ref="C50:I50">calc_deco(A50,B50)</f>
        <v/>
      </c>
      <c r="D50" s="81" t="str">
        <v/>
      </c>
      <c r="E50" s="81" t="str">
        <v/>
      </c>
      <c r="F50" s="81" t="str">
        <v/>
      </c>
      <c r="G50" s="81" t="str">
        <v/>
      </c>
      <c r="H50" s="82">
        <v>3</v>
      </c>
      <c r="I50" s="83" t="str">
        <v>C</v>
      </c>
      <c r="K50" s="46">
        <v>50</v>
      </c>
      <c r="L50" s="64">
        <v>10</v>
      </c>
      <c r="M50" s="47" t="str">
        <f t="array" ref="M50:S50">calc_deco(K50,L50)</f>
        <v/>
      </c>
      <c r="N50" s="47" t="str">
        <v/>
      </c>
      <c r="O50" s="47" t="str">
        <v/>
      </c>
      <c r="P50" s="47">
        <v>1</v>
      </c>
      <c r="Q50" s="47">
        <v>3</v>
      </c>
      <c r="R50" s="56">
        <v>8</v>
      </c>
      <c r="S50" s="48" t="str">
        <v>F</v>
      </c>
      <c r="U50" s="46">
        <v>65</v>
      </c>
      <c r="V50" s="64">
        <v>5</v>
      </c>
      <c r="W50" s="47" t="str">
        <f t="array" ref="W50:AC50">calc_deco(U50,V50)</f>
        <v/>
      </c>
      <c r="X50" s="47" t="str">
        <v/>
      </c>
      <c r="Y50" s="47" t="str">
        <v/>
      </c>
      <c r="Z50" s="47" t="str">
        <v/>
      </c>
      <c r="AA50" s="47">
        <v>4</v>
      </c>
      <c r="AB50" s="56">
        <v>9</v>
      </c>
      <c r="AC50" s="48" t="str">
        <v>E</v>
      </c>
    </row>
    <row r="51" spans="1:29">
      <c r="A51" s="49">
        <v>42</v>
      </c>
      <c r="B51" s="4">
        <v>10</v>
      </c>
      <c r="C51" s="50" t="str">
        <f t="array" ref="C51:I51">calc_deco(A51,B51)</f>
        <v/>
      </c>
      <c r="D51" s="50" t="str">
        <v/>
      </c>
      <c r="E51" s="50" t="str">
        <v/>
      </c>
      <c r="F51" s="50" t="str">
        <v/>
      </c>
      <c r="G51" s="50">
        <v>2</v>
      </c>
      <c r="H51" s="57">
        <v>6</v>
      </c>
      <c r="I51" s="51" t="str">
        <v>E</v>
      </c>
      <c r="K51" s="49">
        <v>50</v>
      </c>
      <c r="L51" s="4">
        <v>15</v>
      </c>
      <c r="M51" s="50" t="str">
        <f t="array" ref="M51:S51">calc_deco(K51,L51)</f>
        <v/>
      </c>
      <c r="N51" s="50" t="str">
        <v/>
      </c>
      <c r="O51" s="50" t="str">
        <v/>
      </c>
      <c r="P51" s="50">
        <v>2</v>
      </c>
      <c r="Q51" s="50">
        <v>9</v>
      </c>
      <c r="R51" s="57">
        <v>15</v>
      </c>
      <c r="S51" s="51" t="str">
        <v>H</v>
      </c>
      <c r="U51" s="49">
        <v>65</v>
      </c>
      <c r="V51" s="4">
        <v>10</v>
      </c>
      <c r="W51" s="50" t="str">
        <f t="array" ref="W51:AC51">calc_deco(U51,V51)</f>
        <v/>
      </c>
      <c r="X51" s="50" t="str">
        <v/>
      </c>
      <c r="Y51" s="50" t="str">
        <v/>
      </c>
      <c r="Z51" s="50">
        <v>3</v>
      </c>
      <c r="AA51" s="50">
        <v>8</v>
      </c>
      <c r="AB51" s="57">
        <v>16</v>
      </c>
      <c r="AC51" s="51" t="str">
        <v>H</v>
      </c>
    </row>
    <row r="52" spans="1:29">
      <c r="A52" s="46">
        <v>42</v>
      </c>
      <c r="B52" s="64">
        <v>15</v>
      </c>
      <c r="C52" s="47" t="str">
        <f t="array" ref="C52:I52">calc_deco(A52,B52)</f>
        <v/>
      </c>
      <c r="D52" s="47" t="str">
        <v/>
      </c>
      <c r="E52" s="47" t="str">
        <v/>
      </c>
      <c r="F52" s="47" t="str">
        <v/>
      </c>
      <c r="G52" s="47">
        <v>5</v>
      </c>
      <c r="H52" s="56">
        <v>9</v>
      </c>
      <c r="I52" s="48" t="str">
        <v>G</v>
      </c>
      <c r="K52" s="46">
        <v>50</v>
      </c>
      <c r="L52" s="64">
        <v>20</v>
      </c>
      <c r="M52" s="47" t="str">
        <f t="array" ref="M52:S52">calc_deco(K52,L52)</f>
        <v/>
      </c>
      <c r="N52" s="47" t="str">
        <v/>
      </c>
      <c r="O52" s="47" t="str">
        <v/>
      </c>
      <c r="P52" s="47">
        <v>5</v>
      </c>
      <c r="Q52" s="47">
        <v>21</v>
      </c>
      <c r="R52" s="56">
        <v>30</v>
      </c>
      <c r="S52" s="48" t="str">
        <v>J</v>
      </c>
      <c r="U52" s="75">
        <v>65</v>
      </c>
      <c r="V52" s="76">
        <v>15</v>
      </c>
      <c r="W52" s="77" t="str">
        <f t="array" ref="W52:AC52">calc_deco(U52,V52)</f>
        <v/>
      </c>
      <c r="X52" s="77" t="str">
        <v/>
      </c>
      <c r="Y52" s="77">
        <v>2</v>
      </c>
      <c r="Z52" s="77">
        <v>5</v>
      </c>
      <c r="AA52" s="77">
        <v>24</v>
      </c>
      <c r="AB52" s="78">
        <v>37</v>
      </c>
      <c r="AC52" s="79" t="str">
        <v>K</v>
      </c>
    </row>
    <row r="53" spans="1:29">
      <c r="A53" s="49">
        <v>42</v>
      </c>
      <c r="B53" s="4">
        <v>20</v>
      </c>
      <c r="C53" s="50" t="str">
        <f t="array" ref="C53:I53">calc_deco(A53,B53)</f>
        <v/>
      </c>
      <c r="D53" s="50" t="str">
        <v/>
      </c>
      <c r="E53" s="50" t="str">
        <v/>
      </c>
      <c r="F53" s="50">
        <v>2</v>
      </c>
      <c r="G53" s="50">
        <v>11</v>
      </c>
      <c r="H53" s="57">
        <v>17</v>
      </c>
      <c r="I53" s="51" t="str">
        <v>I</v>
      </c>
      <c r="K53" s="49">
        <v>50</v>
      </c>
      <c r="L53" s="4">
        <v>25</v>
      </c>
      <c r="M53" s="50" t="str">
        <f t="array" ref="M53:S53">calc_deco(K53,L53)</f>
        <v/>
      </c>
      <c r="N53" s="50" t="str">
        <v/>
      </c>
      <c r="O53" s="50">
        <v>1</v>
      </c>
      <c r="P53" s="50">
        <v>8</v>
      </c>
      <c r="Q53" s="50">
        <v>32</v>
      </c>
      <c r="R53" s="57">
        <v>46</v>
      </c>
      <c r="S53" s="51" t="str">
        <v>L</v>
      </c>
      <c r="U53" s="49"/>
      <c r="V53" s="4"/>
      <c r="W53" s="50" t="str">
        <f t="array" ref="W53:AC53">calc_deco(U53,V53)</f>
        <v/>
      </c>
      <c r="X53" s="50" t="str">
        <v/>
      </c>
      <c r="Y53" s="50" t="str">
        <v/>
      </c>
      <c r="Z53" s="50" t="str">
        <v/>
      </c>
      <c r="AA53" s="50" t="str">
        <v/>
      </c>
      <c r="AB53" s="57">
        <v>0</v>
      </c>
      <c r="AC53" s="51" t="str">
        <v>A</v>
      </c>
    </row>
    <row r="54" spans="1:29">
      <c r="A54" s="46">
        <v>42</v>
      </c>
      <c r="B54" s="64">
        <v>25</v>
      </c>
      <c r="C54" s="47" t="str">
        <f t="array" ref="C54:I54">calc_deco(A54,B54)</f>
        <v/>
      </c>
      <c r="D54" s="47" t="str">
        <v/>
      </c>
      <c r="E54" s="47" t="str">
        <v/>
      </c>
      <c r="F54" s="47">
        <v>3</v>
      </c>
      <c r="G54" s="47">
        <v>22</v>
      </c>
      <c r="H54" s="56">
        <v>29</v>
      </c>
      <c r="I54" s="48" t="str">
        <v>K</v>
      </c>
      <c r="K54" s="75">
        <v>50</v>
      </c>
      <c r="L54" s="76">
        <v>30</v>
      </c>
      <c r="M54" s="77" t="str">
        <f t="array" ref="M54:S54">calc_deco(K54,L54)</f>
        <v/>
      </c>
      <c r="N54" s="77" t="str">
        <v/>
      </c>
      <c r="O54" s="77">
        <v>3</v>
      </c>
      <c r="P54" s="77">
        <v>13</v>
      </c>
      <c r="Q54" s="77">
        <v>39</v>
      </c>
      <c r="R54" s="78">
        <v>60</v>
      </c>
      <c r="S54" s="79" t="str">
        <v>M</v>
      </c>
      <c r="U54" s="46"/>
      <c r="V54" s="64"/>
      <c r="W54" s="47" t="str">
        <f t="array" ref="W54:AC54">calc_deco(U54,V54)</f>
        <v/>
      </c>
      <c r="X54" s="47" t="str">
        <v/>
      </c>
      <c r="Y54" s="47" t="str">
        <v/>
      </c>
      <c r="Z54" s="47" t="str">
        <v/>
      </c>
      <c r="AA54" s="47" t="str">
        <v/>
      </c>
      <c r="AB54" s="56">
        <v>0</v>
      </c>
      <c r="AC54" s="48" t="str">
        <v>A</v>
      </c>
    </row>
    <row r="55" spans="1:29">
      <c r="A55" s="49">
        <v>42</v>
      </c>
      <c r="B55" s="4">
        <v>30</v>
      </c>
      <c r="C55" s="50" t="str">
        <f t="array" ref="C55:I55">calc_deco(A55,B55)</f>
        <v/>
      </c>
      <c r="D55" s="50" t="str">
        <v/>
      </c>
      <c r="E55" s="50" t="str">
        <v/>
      </c>
      <c r="F55" s="50">
        <v>6</v>
      </c>
      <c r="G55" s="50">
        <v>31</v>
      </c>
      <c r="H55" s="57">
        <v>41</v>
      </c>
      <c r="I55" s="51" t="str">
        <v>L</v>
      </c>
      <c r="K55" s="70">
        <v>52</v>
      </c>
      <c r="L55" s="6">
        <v>5</v>
      </c>
      <c r="M55" s="72" t="str">
        <f t="array" ref="M55:S55">calc_deco(K55,L55)</f>
        <v/>
      </c>
      <c r="N55" s="72" t="str">
        <v/>
      </c>
      <c r="O55" s="72" t="str">
        <v/>
      </c>
      <c r="P55" s="72" t="str">
        <v/>
      </c>
      <c r="Q55" s="72">
        <v>1</v>
      </c>
      <c r="R55" s="73">
        <v>5</v>
      </c>
      <c r="S55" s="74" t="str">
        <v>D</v>
      </c>
      <c r="U55" s="49"/>
      <c r="V55" s="4"/>
      <c r="W55" s="50" t="str">
        <f t="array" ref="W55:AC55">calc_deco(U55,V55)</f>
        <v/>
      </c>
      <c r="X55" s="50" t="str">
        <v/>
      </c>
      <c r="Y55" s="50" t="str">
        <v/>
      </c>
      <c r="Z55" s="50" t="str">
        <v/>
      </c>
      <c r="AA55" s="50" t="str">
        <v/>
      </c>
      <c r="AB55" s="57">
        <v>0</v>
      </c>
      <c r="AC55" s="51" t="str">
        <v>A</v>
      </c>
    </row>
    <row r="56" spans="1:29">
      <c r="A56" s="46">
        <v>42</v>
      </c>
      <c r="B56" s="64">
        <v>35</v>
      </c>
      <c r="C56" s="47" t="str">
        <f t="array" ref="C56:I56">calc_deco(A56,B56)</f>
        <v/>
      </c>
      <c r="D56" s="47" t="str">
        <v/>
      </c>
      <c r="E56" s="47" t="str">
        <v/>
      </c>
      <c r="F56" s="47">
        <v>11</v>
      </c>
      <c r="G56" s="47">
        <v>37</v>
      </c>
      <c r="H56" s="56">
        <v>52</v>
      </c>
      <c r="I56" s="48" t="str">
        <v>M</v>
      </c>
      <c r="K56" s="46">
        <v>52</v>
      </c>
      <c r="L56" s="64">
        <v>10</v>
      </c>
      <c r="M56" s="47" t="str">
        <f t="array" ref="M56:S56">calc_deco(K56,L56)</f>
        <v/>
      </c>
      <c r="N56" s="47" t="str">
        <v/>
      </c>
      <c r="O56" s="47" t="str">
        <v/>
      </c>
      <c r="P56" s="47">
        <v>1</v>
      </c>
      <c r="Q56" s="47">
        <v>4</v>
      </c>
      <c r="R56" s="56">
        <v>10</v>
      </c>
      <c r="S56" s="48" t="str">
        <v>G</v>
      </c>
      <c r="U56" s="75"/>
      <c r="V56" s="76"/>
      <c r="W56" s="47" t="str">
        <f t="array" ref="W56:AC56">calc_deco(U56,V56)</f>
        <v/>
      </c>
      <c r="X56" s="47" t="str">
        <v/>
      </c>
      <c r="Y56" s="47" t="str">
        <v/>
      </c>
      <c r="Z56" s="47" t="str">
        <v/>
      </c>
      <c r="AA56" s="47" t="str">
        <v/>
      </c>
      <c r="AB56" s="56">
        <v>0</v>
      </c>
      <c r="AC56" s="48" t="str">
        <v>A</v>
      </c>
    </row>
    <row r="57" spans="1:29">
      <c r="A57" s="52">
        <v>42</v>
      </c>
      <c r="B57" s="5">
        <v>40</v>
      </c>
      <c r="C57" s="53" t="str">
        <f t="array" ref="C57:I57">calc_deco(A57,B57)</f>
        <v/>
      </c>
      <c r="D57" s="53" t="str">
        <v/>
      </c>
      <c r="E57" s="53">
        <v>1</v>
      </c>
      <c r="F57" s="53">
        <v>16</v>
      </c>
      <c r="G57" s="53">
        <v>43</v>
      </c>
      <c r="H57" s="58">
        <v>64</v>
      </c>
      <c r="I57" s="54" t="str">
        <v>N</v>
      </c>
      <c r="K57" s="49">
        <v>52</v>
      </c>
      <c r="L57" s="4">
        <v>15</v>
      </c>
      <c r="M57" s="50" t="str">
        <f t="array" ref="M57:S57">calc_deco(K57,L57)</f>
        <v/>
      </c>
      <c r="N57" s="50" t="str">
        <v/>
      </c>
      <c r="O57" s="50" t="str">
        <v/>
      </c>
      <c r="P57" s="50">
        <v>3</v>
      </c>
      <c r="Q57" s="50">
        <v>11</v>
      </c>
      <c r="R57" s="57">
        <v>19</v>
      </c>
      <c r="S57" s="51" t="str">
        <v>I</v>
      </c>
      <c r="U57" s="70"/>
      <c r="V57" s="6"/>
      <c r="W57" s="72" t="str">
        <f t="array" ref="W57:AC57">calc_deco(U57,V57)</f>
        <v/>
      </c>
      <c r="X57" s="72" t="str">
        <v/>
      </c>
      <c r="Y57" s="72" t="str">
        <v/>
      </c>
      <c r="Z57" s="72" t="str">
        <v/>
      </c>
      <c r="AA57" s="72" t="str">
        <v/>
      </c>
      <c r="AB57" s="73">
        <v>0</v>
      </c>
      <c r="AC57" s="74" t="str">
        <v>A</v>
      </c>
    </row>
    <row r="58" spans="1:29">
      <c r="A58" s="46"/>
      <c r="B58" s="64"/>
      <c r="C58" s="47" t="str">
        <f t="array" ref="C58:I58">calc_deco(A58,B58)</f>
        <v/>
      </c>
      <c r="D58" s="47" t="str">
        <v/>
      </c>
      <c r="E58" s="47" t="str">
        <v/>
      </c>
      <c r="F58" s="47" t="str">
        <v/>
      </c>
      <c r="G58" s="47" t="str">
        <v/>
      </c>
      <c r="H58" s="56">
        <v>0</v>
      </c>
      <c r="I58" s="48" t="str">
        <v>A</v>
      </c>
      <c r="K58" s="46">
        <v>52</v>
      </c>
      <c r="L58" s="64">
        <v>20</v>
      </c>
      <c r="M58" s="47" t="str">
        <f t="array" ref="M58:S58">calc_deco(K58,L58)</f>
        <v/>
      </c>
      <c r="N58" s="47" t="str">
        <v/>
      </c>
      <c r="O58" s="47">
        <v>1</v>
      </c>
      <c r="P58" s="47">
        <v>4</v>
      </c>
      <c r="Q58" s="47">
        <v>24</v>
      </c>
      <c r="R58" s="56">
        <v>34</v>
      </c>
      <c r="S58" s="48" t="str">
        <v>K</v>
      </c>
      <c r="U58" s="46"/>
      <c r="V58" s="64"/>
      <c r="W58" s="47" t="str">
        <f t="array" ref="W58:AC58">calc_deco(U58,V58)</f>
        <v/>
      </c>
      <c r="X58" s="47" t="str">
        <v/>
      </c>
      <c r="Y58" s="47" t="str">
        <v/>
      </c>
      <c r="Z58" s="47" t="str">
        <v/>
      </c>
      <c r="AA58" s="47" t="str">
        <v/>
      </c>
      <c r="AB58" s="56">
        <v>0</v>
      </c>
      <c r="AC58" s="48" t="str">
        <v>A</v>
      </c>
    </row>
    <row r="59" spans="1:29">
      <c r="A59" s="49"/>
      <c r="B59" s="65"/>
      <c r="C59" s="50" t="str">
        <f t="array" ref="C59:I59">calc_deco(A59,B59)</f>
        <v/>
      </c>
      <c r="D59" s="50" t="str">
        <v/>
      </c>
      <c r="E59" s="50" t="str">
        <v/>
      </c>
      <c r="F59" s="50" t="str">
        <v/>
      </c>
      <c r="G59" s="50" t="str">
        <v/>
      </c>
      <c r="H59" s="57">
        <v>0</v>
      </c>
      <c r="I59" s="51" t="str">
        <v>A</v>
      </c>
      <c r="K59" s="52">
        <v>52</v>
      </c>
      <c r="L59" s="69">
        <v>25</v>
      </c>
      <c r="M59" s="53" t="str">
        <f t="array" ref="M59:S59">calc_deco(K59,L59)</f>
        <v/>
      </c>
      <c r="N59" s="53" t="str">
        <v/>
      </c>
      <c r="O59" s="53">
        <v>2</v>
      </c>
      <c r="P59" s="53">
        <v>9</v>
      </c>
      <c r="Q59" s="53">
        <v>34</v>
      </c>
      <c r="R59" s="58">
        <v>50</v>
      </c>
      <c r="S59" s="54" t="str">
        <v>L</v>
      </c>
      <c r="U59" s="49"/>
      <c r="V59" s="4"/>
      <c r="W59" s="50" t="str">
        <f t="array" ref="W59:AC59">calc_deco(U59,V59)</f>
        <v/>
      </c>
      <c r="X59" s="50" t="str">
        <v/>
      </c>
      <c r="Y59" s="50" t="str">
        <v/>
      </c>
      <c r="Z59" s="50" t="str">
        <v/>
      </c>
      <c r="AA59" s="50" t="str">
        <v/>
      </c>
      <c r="AB59" s="57">
        <v>0</v>
      </c>
      <c r="AC59" s="51" t="str">
        <v>A</v>
      </c>
    </row>
    <row r="60" spans="1:29">
      <c r="A60" s="46"/>
      <c r="B60" s="66"/>
      <c r="C60" s="47" t="str">
        <f t="array" ref="C60:I60">calc_deco(A60,B60)</f>
        <v/>
      </c>
      <c r="D60" s="47" t="str">
        <v/>
      </c>
      <c r="E60" s="47" t="str">
        <v/>
      </c>
      <c r="F60" s="47" t="str">
        <v/>
      </c>
      <c r="G60" s="47" t="str">
        <v/>
      </c>
      <c r="H60" s="56">
        <v>0</v>
      </c>
      <c r="I60" s="48" t="str">
        <v>A</v>
      </c>
      <c r="K60" s="46"/>
      <c r="L60" s="66"/>
      <c r="M60" s="47" t="str">
        <f t="array" ref="M60:S60">calc_deco(K60,L60)</f>
        <v/>
      </c>
      <c r="N60" s="47" t="str">
        <v/>
      </c>
      <c r="O60" s="47" t="str">
        <v/>
      </c>
      <c r="P60" s="47" t="str">
        <v/>
      </c>
      <c r="Q60" s="47" t="str">
        <v/>
      </c>
      <c r="R60" s="56">
        <v>0</v>
      </c>
      <c r="S60" s="48" t="str">
        <v>A</v>
      </c>
      <c r="U60" s="75"/>
      <c r="V60" s="76"/>
      <c r="W60" s="77" t="str">
        <f t="array" ref="W60:AC60">calc_deco(U60,V60)</f>
        <v/>
      </c>
      <c r="X60" s="77" t="str">
        <v/>
      </c>
      <c r="Y60" s="77" t="str">
        <v/>
      </c>
      <c r="Z60" s="77" t="str">
        <v/>
      </c>
      <c r="AA60" s="77" t="str">
        <v/>
      </c>
      <c r="AB60" s="78">
        <v>0</v>
      </c>
      <c r="AC60" s="79" t="str">
        <v>A</v>
      </c>
    </row>
    <row r="61" spans="1:29">
      <c r="A61" s="49"/>
      <c r="B61" s="65"/>
      <c r="C61" s="50" t="str">
        <f t="array" ref="C61:I61">calc_deco(A61,B61)</f>
        <v/>
      </c>
      <c r="D61" s="50" t="str">
        <v/>
      </c>
      <c r="E61" s="50" t="str">
        <v/>
      </c>
      <c r="F61" s="50" t="str">
        <v/>
      </c>
      <c r="G61" s="50" t="str">
        <v/>
      </c>
      <c r="H61" s="57">
        <v>0</v>
      </c>
      <c r="I61" s="51" t="str">
        <v>A</v>
      </c>
      <c r="K61" s="49"/>
      <c r="L61" s="65"/>
      <c r="M61" s="50" t="str">
        <f t="array" ref="M61:S61">calc_deco(K61,L61)</f>
        <v/>
      </c>
      <c r="N61" s="50" t="str">
        <v/>
      </c>
      <c r="O61" s="50" t="str">
        <v/>
      </c>
      <c r="P61" s="50" t="str">
        <v/>
      </c>
      <c r="Q61" s="50" t="str">
        <v/>
      </c>
      <c r="R61" s="57">
        <v>0</v>
      </c>
      <c r="S61" s="51" t="str">
        <v>A</v>
      </c>
      <c r="U61" s="70"/>
      <c r="V61" s="71"/>
      <c r="W61" s="72" t="str">
        <f t="array" ref="W61:AC61">calc_deco(U61,V61)</f>
        <v/>
      </c>
      <c r="X61" s="72" t="str">
        <v/>
      </c>
      <c r="Y61" s="72" t="str">
        <v/>
      </c>
      <c r="Z61" s="72" t="str">
        <v/>
      </c>
      <c r="AA61" s="72" t="str">
        <v/>
      </c>
      <c r="AB61" s="73">
        <v>0</v>
      </c>
      <c r="AC61" s="74" t="str">
        <v>A</v>
      </c>
    </row>
    <row r="62" spans="1:29">
      <c r="A62" s="46"/>
      <c r="B62" s="66"/>
      <c r="C62" s="47" t="str">
        <f t="array" ref="C62:I62">calc_deco(A62,B62)</f>
        <v/>
      </c>
      <c r="D62" s="47" t="str">
        <v/>
      </c>
      <c r="E62" s="47" t="str">
        <v/>
      </c>
      <c r="F62" s="47" t="str">
        <v/>
      </c>
      <c r="G62" s="47" t="str">
        <v/>
      </c>
      <c r="H62" s="56">
        <v>0</v>
      </c>
      <c r="I62" s="48" t="str">
        <v>A</v>
      </c>
      <c r="K62" s="46"/>
      <c r="L62" s="66"/>
      <c r="M62" s="47" t="str">
        <f t="array" ref="M62:S62">calc_deco(K62,L62)</f>
        <v/>
      </c>
      <c r="N62" s="47" t="str">
        <v/>
      </c>
      <c r="O62" s="47" t="str">
        <v/>
      </c>
      <c r="P62" s="47" t="str">
        <v/>
      </c>
      <c r="Q62" s="47" t="str">
        <v/>
      </c>
      <c r="R62" s="56">
        <v>0</v>
      </c>
      <c r="S62" s="48" t="str">
        <v>A</v>
      </c>
      <c r="U62" s="46"/>
      <c r="V62" s="68"/>
      <c r="W62" s="47" t="str">
        <f t="array" ref="W62:AC62">calc_deco(U62,V62)</f>
        <v/>
      </c>
      <c r="X62" s="47" t="str">
        <v/>
      </c>
      <c r="Y62" s="47" t="str">
        <v/>
      </c>
      <c r="Z62" s="47" t="str">
        <v/>
      </c>
      <c r="AA62" s="47" t="str">
        <v/>
      </c>
      <c r="AB62" s="56">
        <v>0</v>
      </c>
      <c r="AC62" s="48" t="str">
        <v>A</v>
      </c>
    </row>
    <row r="63" spans="1:29">
      <c r="A63" s="52"/>
      <c r="B63" s="67"/>
      <c r="C63" s="53" t="str">
        <f t="array" ref="C63:I63">calc_deco(A63,B63)</f>
        <v/>
      </c>
      <c r="D63" s="53" t="str">
        <v/>
      </c>
      <c r="E63" s="53" t="str">
        <v/>
      </c>
      <c r="F63" s="53" t="str">
        <v/>
      </c>
      <c r="G63" s="53" t="str">
        <v/>
      </c>
      <c r="H63" s="58">
        <v>0</v>
      </c>
      <c r="I63" s="54" t="str">
        <v>A</v>
      </c>
      <c r="K63" s="52"/>
      <c r="L63" s="67"/>
      <c r="M63" s="53" t="str">
        <f t="array" ref="M63:S63">calc_deco(K63,L63)</f>
        <v/>
      </c>
      <c r="N63" s="53" t="str">
        <v/>
      </c>
      <c r="O63" s="53" t="str">
        <v/>
      </c>
      <c r="P63" s="53" t="str">
        <v/>
      </c>
      <c r="Q63" s="53" t="str">
        <v/>
      </c>
      <c r="R63" s="58">
        <v>0</v>
      </c>
      <c r="S63" s="54" t="str">
        <v>A</v>
      </c>
      <c r="U63" s="52"/>
      <c r="V63" s="69"/>
      <c r="W63" s="53" t="str">
        <f t="array" ref="W63:AC63">calc_deco(U63,V63)</f>
        <v/>
      </c>
      <c r="X63" s="53" t="str">
        <v/>
      </c>
      <c r="Y63" s="53" t="str">
        <v/>
      </c>
      <c r="Z63" s="53" t="str">
        <v/>
      </c>
      <c r="AA63" s="53" t="str">
        <v/>
      </c>
      <c r="AB63" s="58">
        <v>0</v>
      </c>
      <c r="AC63" s="54" t="str">
        <v>A</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L18"/>
  <sheetViews>
    <sheetView workbookViewId="0">
      <selection sqref="A1:A2"/>
    </sheetView>
  </sheetViews>
  <sheetFormatPr baseColWidth="10" defaultRowHeight="15.75"/>
  <cols>
    <col min="1" max="1" width="6.125" customWidth="1"/>
    <col min="2" max="12" width="6.625" customWidth="1"/>
  </cols>
  <sheetData>
    <row r="1" spans="1:12">
      <c r="A1" s="190" t="s">
        <v>3</v>
      </c>
      <c r="B1" s="188" t="s">
        <v>31</v>
      </c>
      <c r="C1" s="188"/>
      <c r="D1" s="188"/>
      <c r="E1" s="188"/>
      <c r="F1" s="188"/>
      <c r="G1" s="188"/>
      <c r="H1" s="188"/>
      <c r="I1" s="188"/>
      <c r="J1" s="188"/>
      <c r="K1" s="188"/>
      <c r="L1" s="189"/>
    </row>
    <row r="2" spans="1:12">
      <c r="A2" s="191"/>
      <c r="B2" s="28">
        <v>1.0416666666666666E-2</v>
      </c>
      <c r="C2" s="29">
        <v>2.0833333333333332E-2</v>
      </c>
      <c r="D2" s="29">
        <v>3.125E-2</v>
      </c>
      <c r="E2" s="29">
        <v>4.1666666666666664E-2</v>
      </c>
      <c r="F2" s="29">
        <v>6.25E-2</v>
      </c>
      <c r="G2" s="29">
        <v>8.3333333333333329E-2</v>
      </c>
      <c r="H2" s="29">
        <v>0.10416666666666667</v>
      </c>
      <c r="I2" s="29">
        <v>0.125</v>
      </c>
      <c r="J2" s="29">
        <v>0.14583333333333334</v>
      </c>
      <c r="K2" s="29">
        <v>0.16666666666666666</v>
      </c>
      <c r="L2" s="30">
        <v>0.20833333333333334</v>
      </c>
    </row>
    <row r="3" spans="1:12">
      <c r="A3" s="44" t="s">
        <v>4</v>
      </c>
      <c r="B3" s="15">
        <f>residuel($A3,B$2)</f>
        <v>0.83668016172818682</v>
      </c>
      <c r="C3" s="16">
        <f t="shared" ref="C3:L18" si="0">residuel($A3,C$2)</f>
        <v>0.83363585661014861</v>
      </c>
      <c r="D3" s="16">
        <f t="shared" si="0"/>
        <v>0.83084421650815876</v>
      </c>
      <c r="E3" s="16">
        <f t="shared" si="0"/>
        <v>0.82828427124746185</v>
      </c>
      <c r="F3" s="16">
        <f t="shared" si="0"/>
        <v>0.82378414230005437</v>
      </c>
      <c r="G3" s="16">
        <f t="shared" si="0"/>
        <v>0.82000000000000006</v>
      </c>
      <c r="H3" s="16">
        <f t="shared" si="0"/>
        <v>0.81681792830507427</v>
      </c>
      <c r="I3" s="16">
        <f t="shared" si="0"/>
        <v>0.81414213562373094</v>
      </c>
      <c r="J3" s="16">
        <f t="shared" si="0"/>
        <v>0.81189207115002726</v>
      </c>
      <c r="K3" s="16">
        <f t="shared" si="0"/>
        <v>0.81</v>
      </c>
      <c r="L3" s="17">
        <f t="shared" si="0"/>
        <v>0.80707106781186555</v>
      </c>
    </row>
    <row r="4" spans="1:12">
      <c r="A4" s="44" t="s">
        <v>5</v>
      </c>
      <c r="B4" s="18">
        <f t="shared" ref="B4:B18" si="1">residuel($A4,B$2)</f>
        <v>0.88253036388842043</v>
      </c>
      <c r="C4" s="19">
        <f t="shared" si="0"/>
        <v>0.87568067737283428</v>
      </c>
      <c r="D4" s="19">
        <f t="shared" si="0"/>
        <v>0.86939948714335735</v>
      </c>
      <c r="E4" s="19">
        <f t="shared" si="0"/>
        <v>0.86363961030678926</v>
      </c>
      <c r="F4" s="19">
        <f t="shared" si="0"/>
        <v>0.85351432017512252</v>
      </c>
      <c r="G4" s="19">
        <f t="shared" si="0"/>
        <v>0.84499999999999997</v>
      </c>
      <c r="H4" s="19">
        <f t="shared" si="0"/>
        <v>0.83784033868641716</v>
      </c>
      <c r="I4" s="19">
        <f t="shared" si="0"/>
        <v>0.83181980515339471</v>
      </c>
      <c r="J4" s="19">
        <f t="shared" si="0"/>
        <v>0.82675716008756128</v>
      </c>
      <c r="K4" s="19">
        <f t="shared" si="0"/>
        <v>0.82250000000000001</v>
      </c>
      <c r="L4" s="20">
        <f t="shared" si="0"/>
        <v>0.81590990257669738</v>
      </c>
    </row>
    <row r="5" spans="1:12">
      <c r="A5" s="44" t="s">
        <v>6</v>
      </c>
      <c r="B5" s="18">
        <f t="shared" si="1"/>
        <v>0.91921052561660732</v>
      </c>
      <c r="C5" s="19">
        <f t="shared" si="0"/>
        <v>0.90931653398298296</v>
      </c>
      <c r="D5" s="19">
        <f t="shared" si="0"/>
        <v>0.90024370365151618</v>
      </c>
      <c r="E5" s="19">
        <f t="shared" si="0"/>
        <v>0.89192388155425129</v>
      </c>
      <c r="F5" s="19">
        <f t="shared" si="0"/>
        <v>0.87729846247517695</v>
      </c>
      <c r="G5" s="19">
        <f t="shared" si="0"/>
        <v>0.86499999999999999</v>
      </c>
      <c r="H5" s="19">
        <f t="shared" si="0"/>
        <v>0.8546582669914915</v>
      </c>
      <c r="I5" s="19">
        <f t="shared" si="0"/>
        <v>0.84596194077712561</v>
      </c>
      <c r="J5" s="19">
        <f t="shared" si="0"/>
        <v>0.8386492312375885</v>
      </c>
      <c r="K5" s="19">
        <f t="shared" si="0"/>
        <v>0.83250000000000002</v>
      </c>
      <c r="L5" s="20">
        <f t="shared" si="0"/>
        <v>0.82298097038856288</v>
      </c>
    </row>
    <row r="6" spans="1:12">
      <c r="A6" s="44" t="s">
        <v>7</v>
      </c>
      <c r="B6" s="18">
        <f t="shared" si="1"/>
        <v>0.96506072777684082</v>
      </c>
      <c r="C6" s="19">
        <f t="shared" si="0"/>
        <v>0.95136135474566863</v>
      </c>
      <c r="D6" s="19">
        <f t="shared" si="0"/>
        <v>0.93879897428671466</v>
      </c>
      <c r="E6" s="19">
        <f t="shared" si="0"/>
        <v>0.92727922061357859</v>
      </c>
      <c r="F6" s="19">
        <f t="shared" si="0"/>
        <v>0.90702864035024489</v>
      </c>
      <c r="G6" s="19">
        <f t="shared" si="0"/>
        <v>0.89</v>
      </c>
      <c r="H6" s="19">
        <f t="shared" si="0"/>
        <v>0.87568067737283428</v>
      </c>
      <c r="I6" s="19">
        <f t="shared" si="0"/>
        <v>0.86363961030678926</v>
      </c>
      <c r="J6" s="19">
        <f t="shared" si="0"/>
        <v>0.85351432017512241</v>
      </c>
      <c r="K6" s="19">
        <f t="shared" si="0"/>
        <v>0.84499999999999997</v>
      </c>
      <c r="L6" s="20">
        <f t="shared" si="0"/>
        <v>0.83181980515339471</v>
      </c>
    </row>
    <row r="7" spans="1:12">
      <c r="A7" s="44" t="s">
        <v>8</v>
      </c>
      <c r="B7" s="18">
        <f t="shared" si="1"/>
        <v>1.0017408895050277</v>
      </c>
      <c r="C7" s="19">
        <f t="shared" si="0"/>
        <v>0.98499721135581719</v>
      </c>
      <c r="D7" s="19">
        <f t="shared" si="0"/>
        <v>0.96964319079487349</v>
      </c>
      <c r="E7" s="19">
        <f t="shared" si="0"/>
        <v>0.9555634918610405</v>
      </c>
      <c r="F7" s="19">
        <f t="shared" si="0"/>
        <v>0.93081278265029932</v>
      </c>
      <c r="G7" s="19">
        <f t="shared" si="0"/>
        <v>0.91</v>
      </c>
      <c r="H7" s="19">
        <f t="shared" si="0"/>
        <v>0.89249860567790862</v>
      </c>
      <c r="I7" s="19">
        <f t="shared" si="0"/>
        <v>0.87778174593052027</v>
      </c>
      <c r="J7" s="19">
        <f t="shared" si="0"/>
        <v>0.86540639132514963</v>
      </c>
      <c r="K7" s="19">
        <f t="shared" si="0"/>
        <v>0.85499999999999998</v>
      </c>
      <c r="L7" s="20">
        <f t="shared" si="0"/>
        <v>0.8388908729652601</v>
      </c>
    </row>
    <row r="8" spans="1:12">
      <c r="A8" s="44" t="s">
        <v>9</v>
      </c>
      <c r="B8" s="18">
        <f t="shared" si="1"/>
        <v>1.0475910916652613</v>
      </c>
      <c r="C8" s="19">
        <f t="shared" si="0"/>
        <v>1.027042032118503</v>
      </c>
      <c r="D8" s="19">
        <f t="shared" si="0"/>
        <v>1.0081984614300721</v>
      </c>
      <c r="E8" s="19">
        <f t="shared" si="0"/>
        <v>0.99091883092036792</v>
      </c>
      <c r="F8" s="19">
        <f t="shared" si="0"/>
        <v>0.96054296052536736</v>
      </c>
      <c r="G8" s="19">
        <f t="shared" si="0"/>
        <v>0.93500000000000005</v>
      </c>
      <c r="H8" s="19">
        <f t="shared" si="0"/>
        <v>0.91352101605925151</v>
      </c>
      <c r="I8" s="19">
        <f t="shared" si="0"/>
        <v>0.89545941546018393</v>
      </c>
      <c r="J8" s="19">
        <f t="shared" si="0"/>
        <v>0.88027148026268376</v>
      </c>
      <c r="K8" s="19">
        <f t="shared" si="0"/>
        <v>0.86750000000000005</v>
      </c>
      <c r="L8" s="20">
        <f t="shared" si="0"/>
        <v>0.84772970773009204</v>
      </c>
    </row>
    <row r="9" spans="1:12">
      <c r="A9" s="44" t="s">
        <v>10</v>
      </c>
      <c r="B9" s="18">
        <f t="shared" si="1"/>
        <v>1.0842712533934482</v>
      </c>
      <c r="C9" s="19">
        <f t="shared" si="0"/>
        <v>1.0606778887286517</v>
      </c>
      <c r="D9" s="19">
        <f t="shared" si="0"/>
        <v>1.0390426779382309</v>
      </c>
      <c r="E9" s="19">
        <f t="shared" si="0"/>
        <v>1.0192031021678298</v>
      </c>
      <c r="F9" s="19">
        <f t="shared" si="0"/>
        <v>0.9843271028254218</v>
      </c>
      <c r="G9" s="19">
        <f t="shared" si="0"/>
        <v>0.95500000000000007</v>
      </c>
      <c r="H9" s="19">
        <f t="shared" si="0"/>
        <v>0.93033894436432585</v>
      </c>
      <c r="I9" s="19">
        <f t="shared" si="0"/>
        <v>0.90960155108391494</v>
      </c>
      <c r="J9" s="19">
        <f t="shared" si="0"/>
        <v>0.89216355141271098</v>
      </c>
      <c r="K9" s="19">
        <f t="shared" si="0"/>
        <v>0.87750000000000006</v>
      </c>
      <c r="L9" s="20">
        <f t="shared" si="0"/>
        <v>0.85480077554195744</v>
      </c>
    </row>
    <row r="10" spans="1:12">
      <c r="A10" s="44" t="s">
        <v>11</v>
      </c>
      <c r="B10" s="18">
        <f t="shared" si="1"/>
        <v>1.1301214555536816</v>
      </c>
      <c r="C10" s="19">
        <f t="shared" si="0"/>
        <v>1.1027227094913372</v>
      </c>
      <c r="D10" s="19">
        <f t="shared" si="0"/>
        <v>1.0775979485734293</v>
      </c>
      <c r="E10" s="19">
        <f t="shared" si="0"/>
        <v>1.0545584412271571</v>
      </c>
      <c r="F10" s="19">
        <f t="shared" si="0"/>
        <v>1.0140572807004897</v>
      </c>
      <c r="G10" s="19">
        <f t="shared" si="0"/>
        <v>0.98</v>
      </c>
      <c r="H10" s="19">
        <f t="shared" si="0"/>
        <v>0.95136135474566863</v>
      </c>
      <c r="I10" s="19">
        <f t="shared" si="0"/>
        <v>0.92727922061357859</v>
      </c>
      <c r="J10" s="19">
        <f t="shared" si="0"/>
        <v>0.90702864035024489</v>
      </c>
      <c r="K10" s="19">
        <f t="shared" si="0"/>
        <v>0.89</v>
      </c>
      <c r="L10" s="20">
        <f t="shared" si="0"/>
        <v>0.86363961030678926</v>
      </c>
    </row>
    <row r="11" spans="1:12">
      <c r="A11" s="44" t="s">
        <v>12</v>
      </c>
      <c r="B11" s="18">
        <f t="shared" si="1"/>
        <v>1.1668016172818685</v>
      </c>
      <c r="C11" s="19">
        <f t="shared" si="0"/>
        <v>1.1363585661014857</v>
      </c>
      <c r="D11" s="19">
        <f t="shared" si="0"/>
        <v>1.1084421650815881</v>
      </c>
      <c r="E11" s="19">
        <f t="shared" si="0"/>
        <v>1.0828427124746189</v>
      </c>
      <c r="F11" s="19">
        <f t="shared" si="0"/>
        <v>1.0378414230005442</v>
      </c>
      <c r="G11" s="19">
        <f t="shared" si="0"/>
        <v>1</v>
      </c>
      <c r="H11" s="19">
        <f t="shared" si="0"/>
        <v>0.96817928305074286</v>
      </c>
      <c r="I11" s="19">
        <f t="shared" si="0"/>
        <v>0.94142135623730949</v>
      </c>
      <c r="J11" s="19">
        <f t="shared" si="0"/>
        <v>0.9189207115002721</v>
      </c>
      <c r="K11" s="19">
        <f t="shared" si="0"/>
        <v>0.9</v>
      </c>
      <c r="L11" s="20">
        <f t="shared" si="0"/>
        <v>0.87071067811865477</v>
      </c>
    </row>
    <row r="12" spans="1:12">
      <c r="A12" s="44" t="s">
        <v>14</v>
      </c>
      <c r="B12" s="18">
        <f t="shared" si="1"/>
        <v>1.249331981170289</v>
      </c>
      <c r="C12" s="19">
        <f t="shared" si="0"/>
        <v>1.2120392434743201</v>
      </c>
      <c r="D12" s="19">
        <f t="shared" si="0"/>
        <v>1.1778416522249455</v>
      </c>
      <c r="E12" s="19">
        <f t="shared" si="0"/>
        <v>1.1464823227814083</v>
      </c>
      <c r="F12" s="19">
        <f t="shared" si="0"/>
        <v>1.0913557431756666</v>
      </c>
      <c r="G12" s="19">
        <f t="shared" si="0"/>
        <v>1.0449999999999999</v>
      </c>
      <c r="H12" s="19">
        <f t="shared" si="0"/>
        <v>1.00601962173716</v>
      </c>
      <c r="I12" s="19">
        <f t="shared" si="0"/>
        <v>0.97324116139070416</v>
      </c>
      <c r="J12" s="19">
        <f t="shared" si="0"/>
        <v>0.94567787158783334</v>
      </c>
      <c r="K12" s="19">
        <f t="shared" si="0"/>
        <v>0.9225000000000001</v>
      </c>
      <c r="L12" s="20">
        <f t="shared" si="0"/>
        <v>0.8866205806953521</v>
      </c>
    </row>
    <row r="13" spans="1:12">
      <c r="A13" s="44" t="s">
        <v>14</v>
      </c>
      <c r="B13" s="18">
        <f t="shared" si="1"/>
        <v>1.249331981170289</v>
      </c>
      <c r="C13" s="19">
        <f t="shared" si="0"/>
        <v>1.2120392434743201</v>
      </c>
      <c r="D13" s="19">
        <f t="shared" si="0"/>
        <v>1.1778416522249455</v>
      </c>
      <c r="E13" s="19">
        <f t="shared" si="0"/>
        <v>1.1464823227814083</v>
      </c>
      <c r="F13" s="19">
        <f t="shared" si="0"/>
        <v>1.0913557431756666</v>
      </c>
      <c r="G13" s="19">
        <f t="shared" si="0"/>
        <v>1.0449999999999999</v>
      </c>
      <c r="H13" s="19">
        <f t="shared" si="0"/>
        <v>1.00601962173716</v>
      </c>
      <c r="I13" s="19">
        <f t="shared" si="0"/>
        <v>0.97324116139070416</v>
      </c>
      <c r="J13" s="19">
        <f t="shared" si="0"/>
        <v>0.94567787158783334</v>
      </c>
      <c r="K13" s="19">
        <f t="shared" si="0"/>
        <v>0.9225000000000001</v>
      </c>
      <c r="L13" s="20">
        <f t="shared" si="0"/>
        <v>0.8866205806953521</v>
      </c>
    </row>
    <row r="14" spans="1:12">
      <c r="A14" s="44" t="s">
        <v>15</v>
      </c>
      <c r="B14" s="18">
        <f t="shared" si="1"/>
        <v>1.2860121428984759</v>
      </c>
      <c r="C14" s="19">
        <f t="shared" si="0"/>
        <v>1.2456751000844688</v>
      </c>
      <c r="D14" s="19">
        <f t="shared" si="0"/>
        <v>1.2086858687331044</v>
      </c>
      <c r="E14" s="19">
        <f t="shared" si="0"/>
        <v>1.1747665940288703</v>
      </c>
      <c r="F14" s="19">
        <f t="shared" si="0"/>
        <v>1.1151398854757211</v>
      </c>
      <c r="G14" s="19">
        <f t="shared" si="0"/>
        <v>1.0649999999999999</v>
      </c>
      <c r="H14" s="19">
        <f t="shared" si="0"/>
        <v>1.0228375500422344</v>
      </c>
      <c r="I14" s="19">
        <f t="shared" si="0"/>
        <v>0.98738329701443517</v>
      </c>
      <c r="J14" s="19">
        <f t="shared" si="0"/>
        <v>0.95756994273786056</v>
      </c>
      <c r="K14" s="19">
        <f t="shared" si="0"/>
        <v>0.93250000000000011</v>
      </c>
      <c r="L14" s="20">
        <f t="shared" si="0"/>
        <v>0.89369164850721761</v>
      </c>
    </row>
    <row r="15" spans="1:12">
      <c r="A15" s="44" t="s">
        <v>16</v>
      </c>
      <c r="B15" s="18">
        <f t="shared" si="1"/>
        <v>1.3318623450587093</v>
      </c>
      <c r="C15" s="19">
        <f t="shared" si="0"/>
        <v>1.2877199208471544</v>
      </c>
      <c r="D15" s="19">
        <f t="shared" si="0"/>
        <v>1.2472411393683027</v>
      </c>
      <c r="E15" s="19">
        <f t="shared" si="0"/>
        <v>1.2101219330881976</v>
      </c>
      <c r="F15" s="19">
        <f t="shared" si="0"/>
        <v>1.1448700633507891</v>
      </c>
      <c r="G15" s="19">
        <f t="shared" si="0"/>
        <v>1.0899999999999999</v>
      </c>
      <c r="H15" s="19">
        <f t="shared" si="0"/>
        <v>1.0438599604235772</v>
      </c>
      <c r="I15" s="19">
        <f t="shared" si="0"/>
        <v>1.0050609665440988</v>
      </c>
      <c r="J15" s="19">
        <f t="shared" si="0"/>
        <v>0.97243503167539447</v>
      </c>
      <c r="K15" s="19">
        <f t="shared" si="0"/>
        <v>0.94500000000000006</v>
      </c>
      <c r="L15" s="20">
        <f>residuel($A15,L$2)</f>
        <v>0.90253048327204943</v>
      </c>
    </row>
    <row r="16" spans="1:12">
      <c r="A16" s="44" t="s">
        <v>17</v>
      </c>
      <c r="B16" s="18">
        <f t="shared" si="1"/>
        <v>1.3685425067868962</v>
      </c>
      <c r="C16" s="19">
        <f t="shared" si="0"/>
        <v>1.321355777457303</v>
      </c>
      <c r="D16" s="19">
        <f t="shared" si="0"/>
        <v>1.2780853558764615</v>
      </c>
      <c r="E16" s="19">
        <f t="shared" si="0"/>
        <v>1.2384062043356594</v>
      </c>
      <c r="F16" s="19">
        <f t="shared" si="0"/>
        <v>1.1686542056508435</v>
      </c>
      <c r="G16" s="19">
        <f t="shared" si="0"/>
        <v>1.1099999999999999</v>
      </c>
      <c r="H16" s="19">
        <f t="shared" si="0"/>
        <v>1.0606778887286514</v>
      </c>
      <c r="I16" s="19">
        <f t="shared" si="0"/>
        <v>1.0192031021678296</v>
      </c>
      <c r="J16" s="19">
        <f t="shared" si="0"/>
        <v>0.98432710282542168</v>
      </c>
      <c r="K16" s="19">
        <f t="shared" si="0"/>
        <v>0.95500000000000007</v>
      </c>
      <c r="L16" s="20">
        <f>residuel($A16,L$2)</f>
        <v>0.90960155108391483</v>
      </c>
    </row>
    <row r="17" spans="1:12">
      <c r="A17" s="44" t="s">
        <v>18</v>
      </c>
      <c r="B17" s="18">
        <f t="shared" si="1"/>
        <v>1.4143927089471298</v>
      </c>
      <c r="C17" s="19">
        <f t="shared" si="0"/>
        <v>1.3634005982199886</v>
      </c>
      <c r="D17" s="19">
        <f t="shared" si="0"/>
        <v>1.3166406265116601</v>
      </c>
      <c r="E17" s="19">
        <f t="shared" si="0"/>
        <v>1.2737615433949869</v>
      </c>
      <c r="F17" s="19">
        <f t="shared" si="0"/>
        <v>1.1983843835259116</v>
      </c>
      <c r="G17" s="19">
        <f t="shared" si="0"/>
        <v>1.135</v>
      </c>
      <c r="H17" s="19">
        <f t="shared" si="0"/>
        <v>1.0817002991099944</v>
      </c>
      <c r="I17" s="19">
        <f t="shared" si="0"/>
        <v>1.0368807716974935</v>
      </c>
      <c r="J17" s="19">
        <f t="shared" si="0"/>
        <v>0.99919219176295571</v>
      </c>
      <c r="K17" s="19">
        <f t="shared" si="0"/>
        <v>0.96750000000000003</v>
      </c>
      <c r="L17" s="20">
        <f>residuel($A17,L$2)</f>
        <v>0.91844038584874677</v>
      </c>
    </row>
    <row r="18" spans="1:12">
      <c r="A18" s="45" t="s">
        <v>19</v>
      </c>
      <c r="B18" s="23">
        <f t="shared" si="1"/>
        <v>1.4510728706753167</v>
      </c>
      <c r="C18" s="24">
        <f t="shared" si="0"/>
        <v>1.3970364548301373</v>
      </c>
      <c r="D18" s="24">
        <f t="shared" si="0"/>
        <v>1.347484843019819</v>
      </c>
      <c r="E18" s="24">
        <f t="shared" si="0"/>
        <v>1.3020458146424487</v>
      </c>
      <c r="F18" s="24">
        <f t="shared" si="0"/>
        <v>1.222168525825966</v>
      </c>
      <c r="G18" s="24">
        <f t="shared" si="0"/>
        <v>1.155</v>
      </c>
      <c r="H18" s="24">
        <f t="shared" si="0"/>
        <v>1.0985182274150687</v>
      </c>
      <c r="I18" s="24">
        <f t="shared" si="0"/>
        <v>1.0510229073212243</v>
      </c>
      <c r="J18" s="24">
        <f t="shared" si="0"/>
        <v>1.011084262912983</v>
      </c>
      <c r="K18" s="24">
        <f t="shared" si="0"/>
        <v>0.97750000000000004</v>
      </c>
      <c r="L18" s="25">
        <f>residuel($A18,L$2)</f>
        <v>0.92551145366061216</v>
      </c>
    </row>
  </sheetData>
  <mergeCells count="2">
    <mergeCell ref="B1:L1"/>
    <mergeCell ref="A1:A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U20"/>
  <sheetViews>
    <sheetView workbookViewId="0">
      <selection sqref="A1:A2"/>
    </sheetView>
  </sheetViews>
  <sheetFormatPr baseColWidth="10" defaultRowHeight="15.75"/>
  <cols>
    <col min="1" max="1" width="8.125" customWidth="1"/>
    <col min="2" max="2" width="9" bestFit="1" customWidth="1"/>
    <col min="3" max="21" width="5.625" customWidth="1"/>
  </cols>
  <sheetData>
    <row r="1" spans="1:21">
      <c r="A1" s="192" t="s">
        <v>34</v>
      </c>
      <c r="B1" s="193" t="s">
        <v>41</v>
      </c>
      <c r="C1" s="193"/>
      <c r="D1" s="193"/>
      <c r="E1" s="193"/>
      <c r="F1" s="193"/>
      <c r="G1" s="193"/>
      <c r="H1" s="193"/>
      <c r="I1" s="193"/>
      <c r="J1" s="193"/>
      <c r="K1" s="193"/>
      <c r="L1" s="193"/>
      <c r="M1" s="193"/>
      <c r="N1" s="193"/>
      <c r="O1" s="193"/>
      <c r="P1" s="193"/>
      <c r="Q1" s="193"/>
      <c r="R1" s="193"/>
      <c r="S1" s="193"/>
      <c r="T1" s="193"/>
      <c r="U1" s="193"/>
    </row>
    <row r="2" spans="1:21">
      <c r="A2" s="192"/>
      <c r="B2" s="41">
        <v>12</v>
      </c>
      <c r="C2" s="42">
        <v>15</v>
      </c>
      <c r="D2" s="42">
        <v>18</v>
      </c>
      <c r="E2" s="42">
        <v>20</v>
      </c>
      <c r="F2" s="42">
        <v>22</v>
      </c>
      <c r="G2" s="42">
        <v>25</v>
      </c>
      <c r="H2" s="42">
        <v>28</v>
      </c>
      <c r="I2" s="42">
        <v>30</v>
      </c>
      <c r="J2" s="42">
        <v>32</v>
      </c>
      <c r="K2" s="42">
        <v>35</v>
      </c>
      <c r="L2" s="42">
        <v>38</v>
      </c>
      <c r="M2" s="42">
        <v>40</v>
      </c>
      <c r="N2" s="42">
        <v>42</v>
      </c>
      <c r="O2" s="42">
        <v>45</v>
      </c>
      <c r="P2" s="42">
        <v>48</v>
      </c>
      <c r="Q2" s="42">
        <v>50</v>
      </c>
      <c r="R2" s="42">
        <v>52</v>
      </c>
      <c r="S2" s="42">
        <v>55</v>
      </c>
      <c r="T2" s="42">
        <v>58</v>
      </c>
      <c r="U2" s="43">
        <v>60</v>
      </c>
    </row>
    <row r="3" spans="1:21">
      <c r="A3" s="31">
        <v>0.82</v>
      </c>
      <c r="B3" s="34">
        <f>majoration($A3,B$2)</f>
        <v>4</v>
      </c>
      <c r="C3" s="35">
        <f t="shared" ref="C3:R18" si="0">majoration($A3,C$2)</f>
        <v>3</v>
      </c>
      <c r="D3" s="35">
        <f t="shared" si="0"/>
        <v>2</v>
      </c>
      <c r="E3" s="35">
        <f t="shared" si="0"/>
        <v>2</v>
      </c>
      <c r="F3" s="35">
        <f t="shared" si="0"/>
        <v>2</v>
      </c>
      <c r="G3" s="35">
        <f t="shared" si="0"/>
        <v>2</v>
      </c>
      <c r="H3" s="35">
        <f t="shared" si="0"/>
        <v>2</v>
      </c>
      <c r="I3" s="35">
        <f t="shared" si="0"/>
        <v>1</v>
      </c>
      <c r="J3" s="35">
        <f t="shared" si="0"/>
        <v>1</v>
      </c>
      <c r="K3" s="35">
        <f t="shared" si="0"/>
        <v>1</v>
      </c>
      <c r="L3" s="35">
        <f t="shared" si="0"/>
        <v>1</v>
      </c>
      <c r="M3" s="35">
        <f t="shared" si="0"/>
        <v>1</v>
      </c>
      <c r="N3" s="35">
        <f t="shared" si="0"/>
        <v>1</v>
      </c>
      <c r="O3" s="35">
        <f t="shared" si="0"/>
        <v>1</v>
      </c>
      <c r="P3" s="35">
        <f t="shared" si="0"/>
        <v>1</v>
      </c>
      <c r="Q3" s="35">
        <f t="shared" si="0"/>
        <v>1</v>
      </c>
      <c r="R3" s="35">
        <f t="shared" si="0"/>
        <v>1</v>
      </c>
      <c r="S3" s="35">
        <f t="shared" ref="S3:U20" si="1">majoration($A3,S$2)</f>
        <v>1</v>
      </c>
      <c r="T3" s="35">
        <f t="shared" si="1"/>
        <v>1</v>
      </c>
      <c r="U3" s="36">
        <f t="shared" si="1"/>
        <v>1</v>
      </c>
    </row>
    <row r="4" spans="1:21">
      <c r="A4" s="32">
        <v>0.84</v>
      </c>
      <c r="B4" s="37">
        <f t="shared" ref="B4:Q19" si="2">majoration($A4,B$2)</f>
        <v>7</v>
      </c>
      <c r="C4" s="21">
        <f t="shared" si="0"/>
        <v>6</v>
      </c>
      <c r="D4" s="21">
        <f t="shared" si="0"/>
        <v>5</v>
      </c>
      <c r="E4" s="21">
        <f t="shared" si="0"/>
        <v>4</v>
      </c>
      <c r="F4" s="21">
        <f t="shared" si="0"/>
        <v>4</v>
      </c>
      <c r="G4" s="21">
        <f t="shared" si="0"/>
        <v>3</v>
      </c>
      <c r="H4" s="21">
        <f t="shared" si="0"/>
        <v>3</v>
      </c>
      <c r="I4" s="21">
        <f t="shared" si="0"/>
        <v>3</v>
      </c>
      <c r="J4" s="21">
        <f t="shared" si="0"/>
        <v>3</v>
      </c>
      <c r="K4" s="21">
        <f t="shared" si="0"/>
        <v>2</v>
      </c>
      <c r="L4" s="21">
        <f t="shared" si="0"/>
        <v>2</v>
      </c>
      <c r="M4" s="21">
        <f t="shared" si="0"/>
        <v>2</v>
      </c>
      <c r="N4" s="21">
        <f t="shared" si="0"/>
        <v>2</v>
      </c>
      <c r="O4" s="21">
        <f t="shared" si="0"/>
        <v>2</v>
      </c>
      <c r="P4" s="21">
        <f t="shared" si="0"/>
        <v>2</v>
      </c>
      <c r="Q4" s="21">
        <f t="shared" si="0"/>
        <v>2</v>
      </c>
      <c r="R4" s="21">
        <f t="shared" si="0"/>
        <v>2</v>
      </c>
      <c r="S4" s="21">
        <f t="shared" si="1"/>
        <v>2</v>
      </c>
      <c r="T4" s="21">
        <f t="shared" si="1"/>
        <v>1</v>
      </c>
      <c r="U4" s="22">
        <f t="shared" si="1"/>
        <v>1</v>
      </c>
    </row>
    <row r="5" spans="1:21">
      <c r="A5" s="32">
        <v>0.86</v>
      </c>
      <c r="B5" s="37">
        <f t="shared" si="2"/>
        <v>11</v>
      </c>
      <c r="C5" s="21">
        <f t="shared" si="0"/>
        <v>9</v>
      </c>
      <c r="D5" s="21">
        <f t="shared" si="0"/>
        <v>7</v>
      </c>
      <c r="E5" s="21">
        <f t="shared" si="0"/>
        <v>7</v>
      </c>
      <c r="F5" s="21">
        <f t="shared" si="0"/>
        <v>6</v>
      </c>
      <c r="G5" s="21">
        <f t="shared" si="0"/>
        <v>5</v>
      </c>
      <c r="H5" s="21">
        <f t="shared" si="0"/>
        <v>5</v>
      </c>
      <c r="I5" s="21">
        <f t="shared" si="0"/>
        <v>4</v>
      </c>
      <c r="J5" s="21">
        <f t="shared" si="0"/>
        <v>4</v>
      </c>
      <c r="K5" s="21">
        <f t="shared" si="0"/>
        <v>4</v>
      </c>
      <c r="L5" s="21">
        <f t="shared" si="0"/>
        <v>3</v>
      </c>
      <c r="M5" s="21">
        <f t="shared" si="0"/>
        <v>3</v>
      </c>
      <c r="N5" s="21">
        <f t="shared" si="0"/>
        <v>3</v>
      </c>
      <c r="O5" s="21">
        <f t="shared" si="0"/>
        <v>3</v>
      </c>
      <c r="P5" s="21">
        <f t="shared" si="0"/>
        <v>3</v>
      </c>
      <c r="Q5" s="21">
        <f t="shared" si="0"/>
        <v>3</v>
      </c>
      <c r="R5" s="21">
        <f t="shared" si="0"/>
        <v>3</v>
      </c>
      <c r="S5" s="21">
        <f t="shared" si="1"/>
        <v>2</v>
      </c>
      <c r="T5" s="21">
        <f t="shared" si="1"/>
        <v>2</v>
      </c>
      <c r="U5" s="22">
        <f t="shared" si="1"/>
        <v>2</v>
      </c>
    </row>
    <row r="6" spans="1:21">
      <c r="A6" s="32">
        <v>0.89</v>
      </c>
      <c r="B6" s="37">
        <f t="shared" si="2"/>
        <v>17</v>
      </c>
      <c r="C6" s="21">
        <f t="shared" si="0"/>
        <v>13</v>
      </c>
      <c r="D6" s="21">
        <f t="shared" si="0"/>
        <v>11</v>
      </c>
      <c r="E6" s="21">
        <f t="shared" si="0"/>
        <v>10</v>
      </c>
      <c r="F6" s="21">
        <f t="shared" si="0"/>
        <v>9</v>
      </c>
      <c r="G6" s="21">
        <f t="shared" si="0"/>
        <v>8</v>
      </c>
      <c r="H6" s="21">
        <f t="shared" si="0"/>
        <v>7</v>
      </c>
      <c r="I6" s="21">
        <f t="shared" si="0"/>
        <v>7</v>
      </c>
      <c r="J6" s="21">
        <f t="shared" si="0"/>
        <v>6</v>
      </c>
      <c r="K6" s="21">
        <f t="shared" si="0"/>
        <v>6</v>
      </c>
      <c r="L6" s="21">
        <f t="shared" si="0"/>
        <v>5</v>
      </c>
      <c r="M6" s="21">
        <f t="shared" si="0"/>
        <v>5</v>
      </c>
      <c r="N6" s="21">
        <f t="shared" si="0"/>
        <v>5</v>
      </c>
      <c r="O6" s="21">
        <f t="shared" si="0"/>
        <v>4</v>
      </c>
      <c r="P6" s="21">
        <f t="shared" si="0"/>
        <v>4</v>
      </c>
      <c r="Q6" s="21">
        <f t="shared" si="0"/>
        <v>4</v>
      </c>
      <c r="R6" s="21">
        <f t="shared" si="0"/>
        <v>4</v>
      </c>
      <c r="S6" s="21">
        <f t="shared" si="1"/>
        <v>4</v>
      </c>
      <c r="T6" s="21">
        <f t="shared" si="1"/>
        <v>3</v>
      </c>
      <c r="U6" s="22">
        <f t="shared" si="1"/>
        <v>3</v>
      </c>
    </row>
    <row r="7" spans="1:21">
      <c r="A7" s="32">
        <v>0.92</v>
      </c>
      <c r="B7" s="37">
        <f t="shared" ref="B7:B20" si="3">majoration($A7,B$2)</f>
        <v>23</v>
      </c>
      <c r="C7" s="21">
        <f t="shared" si="0"/>
        <v>18</v>
      </c>
      <c r="D7" s="21">
        <f t="shared" si="0"/>
        <v>15</v>
      </c>
      <c r="E7" s="21">
        <f t="shared" si="0"/>
        <v>13</v>
      </c>
      <c r="F7" s="21">
        <f t="shared" si="0"/>
        <v>12</v>
      </c>
      <c r="G7" s="21">
        <f t="shared" si="0"/>
        <v>11</v>
      </c>
      <c r="H7" s="21">
        <f t="shared" si="0"/>
        <v>10</v>
      </c>
      <c r="I7" s="21">
        <f t="shared" si="0"/>
        <v>9</v>
      </c>
      <c r="J7" s="21">
        <f t="shared" si="0"/>
        <v>8</v>
      </c>
      <c r="K7" s="21">
        <f t="shared" si="0"/>
        <v>8</v>
      </c>
      <c r="L7" s="21">
        <f t="shared" si="0"/>
        <v>7</v>
      </c>
      <c r="M7" s="21">
        <f t="shared" si="0"/>
        <v>7</v>
      </c>
      <c r="N7" s="21">
        <f t="shared" si="0"/>
        <v>6</v>
      </c>
      <c r="O7" s="21">
        <f t="shared" si="0"/>
        <v>6</v>
      </c>
      <c r="P7" s="21">
        <f t="shared" si="0"/>
        <v>5</v>
      </c>
      <c r="Q7" s="21">
        <f t="shared" si="0"/>
        <v>5</v>
      </c>
      <c r="R7" s="21">
        <f t="shared" si="0"/>
        <v>5</v>
      </c>
      <c r="S7" s="21">
        <f t="shared" si="1"/>
        <v>5</v>
      </c>
      <c r="T7" s="21">
        <f t="shared" si="1"/>
        <v>5</v>
      </c>
      <c r="U7" s="22">
        <f t="shared" si="1"/>
        <v>4</v>
      </c>
    </row>
    <row r="8" spans="1:21">
      <c r="A8" s="32">
        <v>0.95</v>
      </c>
      <c r="B8" s="37">
        <f t="shared" si="3"/>
        <v>29</v>
      </c>
      <c r="C8" s="21">
        <f>majoration($A8,C$2)</f>
        <v>23</v>
      </c>
      <c r="D8" s="21">
        <f t="shared" si="0"/>
        <v>19</v>
      </c>
      <c r="E8" s="21">
        <f t="shared" si="0"/>
        <v>17</v>
      </c>
      <c r="F8" s="21">
        <f t="shared" si="0"/>
        <v>15</v>
      </c>
      <c r="G8" s="21">
        <f t="shared" si="0"/>
        <v>13</v>
      </c>
      <c r="H8" s="21">
        <f t="shared" si="0"/>
        <v>12</v>
      </c>
      <c r="I8" s="21">
        <f t="shared" si="0"/>
        <v>11</v>
      </c>
      <c r="J8" s="21">
        <f t="shared" si="0"/>
        <v>10</v>
      </c>
      <c r="K8" s="21">
        <f t="shared" si="0"/>
        <v>10</v>
      </c>
      <c r="L8" s="21">
        <f t="shared" si="0"/>
        <v>9</v>
      </c>
      <c r="M8" s="21">
        <f t="shared" si="0"/>
        <v>8</v>
      </c>
      <c r="N8" s="21">
        <f t="shared" si="0"/>
        <v>8</v>
      </c>
      <c r="O8" s="21">
        <f t="shared" si="0"/>
        <v>7</v>
      </c>
      <c r="P8" s="21">
        <f t="shared" si="0"/>
        <v>7</v>
      </c>
      <c r="Q8" s="21">
        <f t="shared" si="0"/>
        <v>7</v>
      </c>
      <c r="R8" s="21">
        <f t="shared" si="0"/>
        <v>6</v>
      </c>
      <c r="S8" s="21">
        <f t="shared" si="1"/>
        <v>6</v>
      </c>
      <c r="T8" s="21">
        <f t="shared" si="1"/>
        <v>6</v>
      </c>
      <c r="U8" s="22">
        <f t="shared" si="1"/>
        <v>5</v>
      </c>
    </row>
    <row r="9" spans="1:21">
      <c r="A9" s="32">
        <v>0.99</v>
      </c>
      <c r="B9" s="37">
        <f t="shared" si="3"/>
        <v>38</v>
      </c>
      <c r="C9" s="21">
        <f t="shared" si="0"/>
        <v>30</v>
      </c>
      <c r="D9" s="21">
        <f t="shared" si="0"/>
        <v>24</v>
      </c>
      <c r="E9" s="21">
        <f t="shared" si="0"/>
        <v>22</v>
      </c>
      <c r="F9" s="21">
        <f t="shared" si="0"/>
        <v>20</v>
      </c>
      <c r="G9" s="21">
        <f t="shared" si="0"/>
        <v>17</v>
      </c>
      <c r="H9" s="21">
        <f t="shared" si="0"/>
        <v>15</v>
      </c>
      <c r="I9" s="21">
        <f t="shared" si="0"/>
        <v>14</v>
      </c>
      <c r="J9" s="21">
        <f t="shared" si="0"/>
        <v>13</v>
      </c>
      <c r="K9" s="21">
        <f t="shared" si="0"/>
        <v>12</v>
      </c>
      <c r="L9" s="21">
        <f t="shared" si="0"/>
        <v>11</v>
      </c>
      <c r="M9" s="21">
        <f t="shared" si="0"/>
        <v>11</v>
      </c>
      <c r="N9" s="21">
        <f t="shared" si="0"/>
        <v>10</v>
      </c>
      <c r="O9" s="21">
        <f t="shared" si="0"/>
        <v>9</v>
      </c>
      <c r="P9" s="21">
        <f t="shared" si="0"/>
        <v>9</v>
      </c>
      <c r="Q9" s="21">
        <f t="shared" si="0"/>
        <v>8</v>
      </c>
      <c r="R9" s="21">
        <f t="shared" si="0"/>
        <v>8</v>
      </c>
      <c r="S9" s="21">
        <f t="shared" si="1"/>
        <v>8</v>
      </c>
      <c r="T9" s="21">
        <f t="shared" si="1"/>
        <v>7</v>
      </c>
      <c r="U9" s="22">
        <f t="shared" si="1"/>
        <v>7</v>
      </c>
    </row>
    <row r="10" spans="1:21">
      <c r="A10" s="32">
        <v>1.03</v>
      </c>
      <c r="B10" s="37">
        <f t="shared" si="3"/>
        <v>47</v>
      </c>
      <c r="C10" s="21">
        <f t="shared" si="0"/>
        <v>37</v>
      </c>
      <c r="D10" s="21">
        <f t="shared" si="0"/>
        <v>30</v>
      </c>
      <c r="E10" s="21">
        <f t="shared" si="0"/>
        <v>27</v>
      </c>
      <c r="F10" s="21">
        <f t="shared" si="0"/>
        <v>24</v>
      </c>
      <c r="G10" s="21">
        <f t="shared" si="0"/>
        <v>21</v>
      </c>
      <c r="H10" s="21">
        <f t="shared" si="0"/>
        <v>19</v>
      </c>
      <c r="I10" s="21">
        <f t="shared" si="0"/>
        <v>17</v>
      </c>
      <c r="J10" s="21">
        <f t="shared" si="0"/>
        <v>16</v>
      </c>
      <c r="K10" s="21">
        <f t="shared" si="0"/>
        <v>15</v>
      </c>
      <c r="L10" s="21">
        <f t="shared" si="0"/>
        <v>14</v>
      </c>
      <c r="M10" s="21">
        <f t="shared" si="0"/>
        <v>13</v>
      </c>
      <c r="N10" s="21">
        <f t="shared" si="0"/>
        <v>12</v>
      </c>
      <c r="O10" s="21">
        <f t="shared" si="0"/>
        <v>11</v>
      </c>
      <c r="P10" s="21">
        <f t="shared" si="0"/>
        <v>11</v>
      </c>
      <c r="Q10" s="21">
        <f t="shared" si="0"/>
        <v>10</v>
      </c>
      <c r="R10" s="21">
        <f t="shared" si="0"/>
        <v>10</v>
      </c>
      <c r="S10" s="21">
        <f t="shared" si="1"/>
        <v>9</v>
      </c>
      <c r="T10" s="21">
        <f t="shared" si="1"/>
        <v>9</v>
      </c>
      <c r="U10" s="22">
        <f t="shared" si="1"/>
        <v>9</v>
      </c>
    </row>
    <row r="11" spans="1:21">
      <c r="A11" s="32">
        <v>1.07</v>
      </c>
      <c r="B11" s="37">
        <f t="shared" si="3"/>
        <v>57</v>
      </c>
      <c r="C11" s="21">
        <f t="shared" si="0"/>
        <v>44</v>
      </c>
      <c r="D11" s="21">
        <f t="shared" si="0"/>
        <v>36</v>
      </c>
      <c r="E11" s="21">
        <f t="shared" si="0"/>
        <v>32</v>
      </c>
      <c r="F11" s="21">
        <f t="shared" si="0"/>
        <v>29</v>
      </c>
      <c r="G11" s="21">
        <f t="shared" si="0"/>
        <v>25</v>
      </c>
      <c r="H11" s="21">
        <f t="shared" si="0"/>
        <v>22</v>
      </c>
      <c r="I11" s="21">
        <f t="shared" si="0"/>
        <v>21</v>
      </c>
      <c r="J11" s="21">
        <f t="shared" si="0"/>
        <v>19</v>
      </c>
      <c r="K11" s="21">
        <f t="shared" si="0"/>
        <v>18</v>
      </c>
      <c r="L11" s="21">
        <f t="shared" si="0"/>
        <v>16</v>
      </c>
      <c r="M11" s="21">
        <f t="shared" si="0"/>
        <v>15</v>
      </c>
      <c r="N11" s="21">
        <f t="shared" si="0"/>
        <v>15</v>
      </c>
      <c r="O11" s="21">
        <f t="shared" si="0"/>
        <v>13</v>
      </c>
      <c r="P11" s="21">
        <f t="shared" si="0"/>
        <v>13</v>
      </c>
      <c r="Q11" s="21">
        <f t="shared" si="0"/>
        <v>12</v>
      </c>
      <c r="R11" s="21">
        <f t="shared" si="0"/>
        <v>12</v>
      </c>
      <c r="S11" s="21">
        <f t="shared" si="1"/>
        <v>11</v>
      </c>
      <c r="T11" s="21">
        <f t="shared" si="1"/>
        <v>10</v>
      </c>
      <c r="U11" s="22">
        <f t="shared" si="1"/>
        <v>10</v>
      </c>
    </row>
    <row r="12" spans="1:21">
      <c r="A12" s="32">
        <v>1.1100000000000001</v>
      </c>
      <c r="B12" s="37">
        <f t="shared" si="3"/>
        <v>68</v>
      </c>
      <c r="C12" s="21">
        <f t="shared" si="0"/>
        <v>52</v>
      </c>
      <c r="D12" s="21">
        <f t="shared" si="0"/>
        <v>42</v>
      </c>
      <c r="E12" s="21">
        <f t="shared" si="0"/>
        <v>37</v>
      </c>
      <c r="F12" s="21">
        <f t="shared" si="0"/>
        <v>34</v>
      </c>
      <c r="G12" s="21">
        <f t="shared" si="0"/>
        <v>29</v>
      </c>
      <c r="H12" s="21">
        <f t="shared" si="0"/>
        <v>26</v>
      </c>
      <c r="I12" s="21">
        <f t="shared" si="0"/>
        <v>24</v>
      </c>
      <c r="J12" s="21">
        <f t="shared" si="0"/>
        <v>22</v>
      </c>
      <c r="K12" s="21">
        <f t="shared" si="0"/>
        <v>20</v>
      </c>
      <c r="L12" s="21">
        <f t="shared" si="0"/>
        <v>19</v>
      </c>
      <c r="M12" s="21">
        <f t="shared" si="0"/>
        <v>18</v>
      </c>
      <c r="N12" s="21">
        <f t="shared" si="0"/>
        <v>17</v>
      </c>
      <c r="O12" s="21">
        <f t="shared" si="0"/>
        <v>16</v>
      </c>
      <c r="P12" s="21">
        <f t="shared" si="0"/>
        <v>15</v>
      </c>
      <c r="Q12" s="21">
        <f t="shared" si="0"/>
        <v>14</v>
      </c>
      <c r="R12" s="21">
        <f t="shared" si="0"/>
        <v>13</v>
      </c>
      <c r="S12" s="21">
        <f t="shared" si="1"/>
        <v>13</v>
      </c>
      <c r="T12" s="21">
        <f t="shared" si="1"/>
        <v>12</v>
      </c>
      <c r="U12" s="22">
        <f t="shared" si="1"/>
        <v>12</v>
      </c>
    </row>
    <row r="13" spans="1:21">
      <c r="A13" s="32">
        <v>1.1599999999999999</v>
      </c>
      <c r="B13" s="37">
        <f t="shared" si="3"/>
        <v>81</v>
      </c>
      <c r="C13" s="21">
        <f t="shared" si="0"/>
        <v>62</v>
      </c>
      <c r="D13" s="21">
        <f t="shared" si="0"/>
        <v>50</v>
      </c>
      <c r="E13" s="21">
        <f t="shared" si="0"/>
        <v>44</v>
      </c>
      <c r="F13" s="21">
        <f t="shared" si="0"/>
        <v>40</v>
      </c>
      <c r="G13" s="21">
        <f t="shared" si="0"/>
        <v>34</v>
      </c>
      <c r="H13" s="21">
        <f t="shared" si="0"/>
        <v>30</v>
      </c>
      <c r="I13" s="21">
        <f t="shared" si="0"/>
        <v>28</v>
      </c>
      <c r="J13" s="21">
        <f t="shared" si="0"/>
        <v>26</v>
      </c>
      <c r="K13" s="21">
        <f t="shared" si="0"/>
        <v>24</v>
      </c>
      <c r="L13" s="21">
        <f t="shared" si="0"/>
        <v>22</v>
      </c>
      <c r="M13" s="21">
        <f t="shared" si="0"/>
        <v>21</v>
      </c>
      <c r="N13" s="21">
        <f t="shared" si="0"/>
        <v>20</v>
      </c>
      <c r="O13" s="21">
        <f t="shared" si="0"/>
        <v>18</v>
      </c>
      <c r="P13" s="21">
        <f t="shared" si="0"/>
        <v>17</v>
      </c>
      <c r="Q13" s="21">
        <f t="shared" si="0"/>
        <v>16</v>
      </c>
      <c r="R13" s="21">
        <f t="shared" si="0"/>
        <v>16</v>
      </c>
      <c r="S13" s="21">
        <f t="shared" si="1"/>
        <v>15</v>
      </c>
      <c r="T13" s="21">
        <f t="shared" si="1"/>
        <v>14</v>
      </c>
      <c r="U13" s="22">
        <f t="shared" si="1"/>
        <v>13</v>
      </c>
    </row>
    <row r="14" spans="1:21">
      <c r="A14" s="32">
        <v>1.2</v>
      </c>
      <c r="B14" s="37">
        <f t="shared" si="3"/>
        <v>93</v>
      </c>
      <c r="C14" s="21">
        <f t="shared" si="0"/>
        <v>70</v>
      </c>
      <c r="D14" s="21">
        <f t="shared" si="0"/>
        <v>56</v>
      </c>
      <c r="E14" s="21">
        <f t="shared" si="0"/>
        <v>50</v>
      </c>
      <c r="F14" s="21">
        <f t="shared" si="0"/>
        <v>45</v>
      </c>
      <c r="G14" s="21">
        <f t="shared" si="0"/>
        <v>39</v>
      </c>
      <c r="H14" s="21">
        <f t="shared" si="0"/>
        <v>34</v>
      </c>
      <c r="I14" s="21">
        <f t="shared" si="0"/>
        <v>32</v>
      </c>
      <c r="J14" s="21">
        <f t="shared" si="0"/>
        <v>29</v>
      </c>
      <c r="K14" s="21">
        <f t="shared" si="0"/>
        <v>27</v>
      </c>
      <c r="L14" s="21">
        <f t="shared" si="0"/>
        <v>24</v>
      </c>
      <c r="M14" s="21">
        <f t="shared" si="0"/>
        <v>23</v>
      </c>
      <c r="N14" s="21">
        <f t="shared" si="0"/>
        <v>22</v>
      </c>
      <c r="O14" s="21">
        <f t="shared" si="0"/>
        <v>20</v>
      </c>
      <c r="P14" s="21">
        <f t="shared" si="0"/>
        <v>19</v>
      </c>
      <c r="Q14" s="21">
        <f t="shared" si="0"/>
        <v>18</v>
      </c>
      <c r="R14" s="21">
        <f t="shared" si="0"/>
        <v>18</v>
      </c>
      <c r="S14" s="21">
        <f t="shared" si="1"/>
        <v>17</v>
      </c>
      <c r="T14" s="21">
        <f t="shared" si="1"/>
        <v>16</v>
      </c>
      <c r="U14" s="22">
        <f t="shared" si="1"/>
        <v>15</v>
      </c>
    </row>
    <row r="15" spans="1:21">
      <c r="A15" s="32">
        <v>1.24</v>
      </c>
      <c r="B15" s="37">
        <f t="shared" si="3"/>
        <v>106</v>
      </c>
      <c r="C15" s="21">
        <f t="shared" si="0"/>
        <v>79</v>
      </c>
      <c r="D15" s="21">
        <f t="shared" si="0"/>
        <v>63</v>
      </c>
      <c r="E15" s="21">
        <f t="shared" si="0"/>
        <v>56</v>
      </c>
      <c r="F15" s="21">
        <f t="shared" si="0"/>
        <v>50</v>
      </c>
      <c r="G15" s="21">
        <f t="shared" si="0"/>
        <v>43</v>
      </c>
      <c r="H15" s="21">
        <f t="shared" si="0"/>
        <v>38</v>
      </c>
      <c r="I15" s="21">
        <f t="shared" si="0"/>
        <v>35</v>
      </c>
      <c r="J15" s="21">
        <f t="shared" si="0"/>
        <v>33</v>
      </c>
      <c r="K15" s="21">
        <f t="shared" si="0"/>
        <v>30</v>
      </c>
      <c r="L15" s="21">
        <f t="shared" si="0"/>
        <v>27</v>
      </c>
      <c r="M15" s="21">
        <f t="shared" si="0"/>
        <v>26</v>
      </c>
      <c r="N15" s="21">
        <f t="shared" si="0"/>
        <v>24</v>
      </c>
      <c r="O15" s="21">
        <f t="shared" si="0"/>
        <v>23</v>
      </c>
      <c r="P15" s="21">
        <f t="shared" si="0"/>
        <v>21</v>
      </c>
      <c r="Q15" s="21">
        <f t="shared" si="0"/>
        <v>20</v>
      </c>
      <c r="R15" s="21">
        <f t="shared" si="0"/>
        <v>19</v>
      </c>
      <c r="S15" s="21">
        <f t="shared" si="1"/>
        <v>18</v>
      </c>
      <c r="T15" s="21">
        <f t="shared" si="1"/>
        <v>17</v>
      </c>
      <c r="U15" s="22">
        <f t="shared" si="1"/>
        <v>17</v>
      </c>
    </row>
    <row r="16" spans="1:21">
      <c r="A16" s="32">
        <v>1.29</v>
      </c>
      <c r="B16" s="37">
        <f t="shared" si="3"/>
        <v>124</v>
      </c>
      <c r="C16" s="21">
        <f t="shared" si="0"/>
        <v>91</v>
      </c>
      <c r="D16" s="21">
        <f t="shared" si="0"/>
        <v>72</v>
      </c>
      <c r="E16" s="21">
        <f t="shared" si="0"/>
        <v>63</v>
      </c>
      <c r="F16" s="21">
        <f t="shared" si="0"/>
        <v>56</v>
      </c>
      <c r="G16" s="21">
        <f t="shared" si="0"/>
        <v>49</v>
      </c>
      <c r="H16" s="21">
        <f t="shared" si="0"/>
        <v>43</v>
      </c>
      <c r="I16" s="21">
        <f t="shared" si="0"/>
        <v>40</v>
      </c>
      <c r="J16" s="21">
        <f t="shared" si="0"/>
        <v>37</v>
      </c>
      <c r="K16" s="21">
        <f t="shared" si="0"/>
        <v>33</v>
      </c>
      <c r="L16" s="21">
        <f t="shared" si="0"/>
        <v>30</v>
      </c>
      <c r="M16" s="21">
        <f t="shared" si="0"/>
        <v>29</v>
      </c>
      <c r="N16" s="21">
        <f t="shared" si="0"/>
        <v>27</v>
      </c>
      <c r="O16" s="21">
        <f t="shared" si="0"/>
        <v>25</v>
      </c>
      <c r="P16" s="21">
        <f t="shared" si="0"/>
        <v>24</v>
      </c>
      <c r="Q16" s="21">
        <f t="shared" si="0"/>
        <v>23</v>
      </c>
      <c r="R16" s="21">
        <f t="shared" si="0"/>
        <v>22</v>
      </c>
      <c r="S16" s="21">
        <f t="shared" si="1"/>
        <v>20</v>
      </c>
      <c r="T16" s="21">
        <f t="shared" si="1"/>
        <v>19</v>
      </c>
      <c r="U16" s="22">
        <f t="shared" si="1"/>
        <v>19</v>
      </c>
    </row>
    <row r="17" spans="1:21">
      <c r="A17" s="32">
        <v>1.33</v>
      </c>
      <c r="B17" s="37">
        <f t="shared" si="3"/>
        <v>139</v>
      </c>
      <c r="C17" s="21">
        <f t="shared" si="0"/>
        <v>101</v>
      </c>
      <c r="D17" s="21">
        <f t="shared" si="0"/>
        <v>79</v>
      </c>
      <c r="E17" s="21">
        <f t="shared" si="0"/>
        <v>70</v>
      </c>
      <c r="F17" s="21">
        <f t="shared" si="0"/>
        <v>62</v>
      </c>
      <c r="G17" s="21">
        <f t="shared" si="0"/>
        <v>53</v>
      </c>
      <c r="H17" s="21">
        <f t="shared" si="0"/>
        <v>47</v>
      </c>
      <c r="I17" s="21">
        <f t="shared" si="0"/>
        <v>43</v>
      </c>
      <c r="J17" s="21">
        <f t="shared" si="0"/>
        <v>40</v>
      </c>
      <c r="K17" s="21">
        <f t="shared" si="0"/>
        <v>36</v>
      </c>
      <c r="L17" s="21">
        <f t="shared" si="0"/>
        <v>33</v>
      </c>
      <c r="M17" s="21">
        <f t="shared" si="0"/>
        <v>31</v>
      </c>
      <c r="N17" s="21">
        <f t="shared" si="0"/>
        <v>30</v>
      </c>
      <c r="O17" s="21">
        <f t="shared" si="0"/>
        <v>28</v>
      </c>
      <c r="P17" s="21">
        <f t="shared" si="0"/>
        <v>26</v>
      </c>
      <c r="Q17" s="21">
        <f t="shared" si="0"/>
        <v>25</v>
      </c>
      <c r="R17" s="21">
        <f t="shared" si="0"/>
        <v>24</v>
      </c>
      <c r="S17" s="21">
        <f t="shared" si="1"/>
        <v>22</v>
      </c>
      <c r="T17" s="21">
        <f t="shared" si="1"/>
        <v>21</v>
      </c>
      <c r="U17" s="22">
        <f t="shared" si="1"/>
        <v>20</v>
      </c>
    </row>
    <row r="18" spans="1:21">
      <c r="A18" s="32">
        <v>1.38</v>
      </c>
      <c r="B18" s="37">
        <f t="shared" si="3"/>
        <v>160</v>
      </c>
      <c r="C18" s="21">
        <f t="shared" si="0"/>
        <v>114</v>
      </c>
      <c r="D18" s="21">
        <f t="shared" si="0"/>
        <v>89</v>
      </c>
      <c r="E18" s="21">
        <f t="shared" si="0"/>
        <v>78</v>
      </c>
      <c r="F18" s="21">
        <f t="shared" si="0"/>
        <v>69</v>
      </c>
      <c r="G18" s="21">
        <f t="shared" si="0"/>
        <v>59</v>
      </c>
      <c r="H18" s="21">
        <f t="shared" si="0"/>
        <v>52</v>
      </c>
      <c r="I18" s="21">
        <f t="shared" si="0"/>
        <v>48</v>
      </c>
      <c r="J18" s="21">
        <f t="shared" si="0"/>
        <v>44</v>
      </c>
      <c r="K18" s="21">
        <f t="shared" si="0"/>
        <v>40</v>
      </c>
      <c r="L18" s="21">
        <f t="shared" si="0"/>
        <v>37</v>
      </c>
      <c r="M18" s="21">
        <f t="shared" si="0"/>
        <v>35</v>
      </c>
      <c r="N18" s="21">
        <f t="shared" si="0"/>
        <v>33</v>
      </c>
      <c r="O18" s="21">
        <f t="shared" si="0"/>
        <v>30</v>
      </c>
      <c r="P18" s="21">
        <f t="shared" si="0"/>
        <v>28</v>
      </c>
      <c r="Q18" s="21">
        <f t="shared" si="0"/>
        <v>27</v>
      </c>
      <c r="R18" s="21">
        <f t="shared" ref="R18:R20" si="4">majoration($A18,R$2)</f>
        <v>26</v>
      </c>
      <c r="S18" s="21">
        <f t="shared" si="1"/>
        <v>24</v>
      </c>
      <c r="T18" s="21">
        <f t="shared" si="1"/>
        <v>23</v>
      </c>
      <c r="U18" s="22">
        <f t="shared" si="1"/>
        <v>22</v>
      </c>
    </row>
    <row r="19" spans="1:21">
      <c r="A19" s="32">
        <v>1.42</v>
      </c>
      <c r="B19" s="37">
        <f t="shared" si="3"/>
        <v>180</v>
      </c>
      <c r="C19" s="21">
        <f t="shared" si="2"/>
        <v>126</v>
      </c>
      <c r="D19" s="21">
        <f t="shared" si="2"/>
        <v>97</v>
      </c>
      <c r="E19" s="21">
        <f t="shared" si="2"/>
        <v>85</v>
      </c>
      <c r="F19" s="21">
        <f t="shared" si="2"/>
        <v>75</v>
      </c>
      <c r="G19" s="21">
        <f t="shared" si="2"/>
        <v>64</v>
      </c>
      <c r="H19" s="21">
        <f t="shared" si="2"/>
        <v>56</v>
      </c>
      <c r="I19" s="21">
        <f t="shared" si="2"/>
        <v>52</v>
      </c>
      <c r="J19" s="21">
        <f t="shared" si="2"/>
        <v>48</v>
      </c>
      <c r="K19" s="21">
        <f t="shared" si="2"/>
        <v>43</v>
      </c>
      <c r="L19" s="21">
        <f t="shared" si="2"/>
        <v>39</v>
      </c>
      <c r="M19" s="21">
        <f t="shared" si="2"/>
        <v>37</v>
      </c>
      <c r="N19" s="21">
        <f t="shared" si="2"/>
        <v>35</v>
      </c>
      <c r="O19" s="21">
        <f t="shared" si="2"/>
        <v>33</v>
      </c>
      <c r="P19" s="21">
        <f t="shared" si="2"/>
        <v>30</v>
      </c>
      <c r="Q19" s="21">
        <f t="shared" si="2"/>
        <v>29</v>
      </c>
      <c r="R19" s="21">
        <f t="shared" si="4"/>
        <v>28</v>
      </c>
      <c r="S19" s="21">
        <f t="shared" si="1"/>
        <v>26</v>
      </c>
      <c r="T19" s="21">
        <f t="shared" si="1"/>
        <v>25</v>
      </c>
      <c r="U19" s="22">
        <f t="shared" si="1"/>
        <v>24</v>
      </c>
    </row>
    <row r="20" spans="1:21">
      <c r="A20" s="33">
        <v>1.45</v>
      </c>
      <c r="B20" s="38">
        <f t="shared" si="3"/>
        <v>196</v>
      </c>
      <c r="C20" s="39">
        <f t="shared" ref="C20:Q20" si="5">majoration($A20,C$2)</f>
        <v>135</v>
      </c>
      <c r="D20" s="39">
        <f t="shared" si="5"/>
        <v>104</v>
      </c>
      <c r="E20" s="39">
        <f t="shared" si="5"/>
        <v>90</v>
      </c>
      <c r="F20" s="39">
        <f t="shared" si="5"/>
        <v>80</v>
      </c>
      <c r="G20" s="39">
        <f t="shared" si="5"/>
        <v>68</v>
      </c>
      <c r="H20" s="39">
        <f t="shared" si="5"/>
        <v>59</v>
      </c>
      <c r="I20" s="39">
        <f t="shared" si="5"/>
        <v>55</v>
      </c>
      <c r="J20" s="39">
        <f t="shared" si="5"/>
        <v>51</v>
      </c>
      <c r="K20" s="39">
        <f t="shared" si="5"/>
        <v>46</v>
      </c>
      <c r="L20" s="39">
        <f t="shared" si="5"/>
        <v>42</v>
      </c>
      <c r="M20" s="39">
        <f t="shared" si="5"/>
        <v>39</v>
      </c>
      <c r="N20" s="39">
        <f t="shared" si="5"/>
        <v>37</v>
      </c>
      <c r="O20" s="39">
        <f t="shared" si="5"/>
        <v>34</v>
      </c>
      <c r="P20" s="39">
        <f t="shared" si="5"/>
        <v>32</v>
      </c>
      <c r="Q20" s="39">
        <f t="shared" si="5"/>
        <v>31</v>
      </c>
      <c r="R20" s="39">
        <f t="shared" si="4"/>
        <v>29</v>
      </c>
      <c r="S20" s="39">
        <f t="shared" si="1"/>
        <v>28</v>
      </c>
      <c r="T20" s="39">
        <f t="shared" si="1"/>
        <v>26</v>
      </c>
      <c r="U20" s="40">
        <f t="shared" si="1"/>
        <v>25</v>
      </c>
    </row>
  </sheetData>
  <mergeCells count="2">
    <mergeCell ref="A1:A2"/>
    <mergeCell ref="B1:U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P18"/>
  <sheetViews>
    <sheetView workbookViewId="0">
      <selection sqref="A1:A2"/>
    </sheetView>
  </sheetViews>
  <sheetFormatPr baseColWidth="10" defaultRowHeight="15.75"/>
  <cols>
    <col min="1" max="2" width="7.625" customWidth="1"/>
    <col min="3" max="16" width="6.125" customWidth="1"/>
  </cols>
  <sheetData>
    <row r="1" spans="1:16">
      <c r="A1" s="190" t="s">
        <v>3</v>
      </c>
      <c r="B1" s="195" t="s">
        <v>34</v>
      </c>
      <c r="C1" s="194" t="s">
        <v>48</v>
      </c>
      <c r="D1" s="188"/>
      <c r="E1" s="188"/>
      <c r="F1" s="188"/>
      <c r="G1" s="188"/>
      <c r="H1" s="188"/>
      <c r="I1" s="188"/>
      <c r="J1" s="188"/>
      <c r="K1" s="188"/>
      <c r="L1" s="188"/>
      <c r="M1" s="188"/>
      <c r="N1" s="188"/>
      <c r="O1" s="188"/>
      <c r="P1" s="189"/>
    </row>
    <row r="2" spans="1:16">
      <c r="A2" s="191"/>
      <c r="B2" s="196"/>
      <c r="C2" s="28">
        <v>1.0416666666666666E-2</v>
      </c>
      <c r="D2" s="29">
        <v>2.0833333333333332E-2</v>
      </c>
      <c r="E2" s="29">
        <v>3.125E-2</v>
      </c>
      <c r="F2" s="29">
        <v>4.1666666666666664E-2</v>
      </c>
      <c r="G2" s="29">
        <v>5.2083333333333336E-2</v>
      </c>
      <c r="H2" s="29">
        <v>6.25E-2</v>
      </c>
      <c r="I2" s="29">
        <v>7.2916666666666671E-2</v>
      </c>
      <c r="J2" s="29">
        <v>8.3333333333333329E-2</v>
      </c>
      <c r="K2" s="29">
        <v>9.375E-2</v>
      </c>
      <c r="L2" s="29">
        <v>0.10416666666666667</v>
      </c>
      <c r="M2" s="29">
        <v>0.11458333333333333</v>
      </c>
      <c r="N2" s="29">
        <v>0.125</v>
      </c>
      <c r="O2" s="29">
        <v>0.13541666666666666</v>
      </c>
      <c r="P2" s="30">
        <v>0.14583333333333334</v>
      </c>
    </row>
    <row r="3" spans="1:16">
      <c r="A3" s="26" t="s">
        <v>4</v>
      </c>
      <c r="B3" s="31">
        <v>0.84</v>
      </c>
      <c r="C3" s="16">
        <f t="shared" ref="C3:C18" si="0">o2pur($B3,C$2)</f>
        <v>0.80438675578680185</v>
      </c>
      <c r="D3" s="16"/>
      <c r="E3" s="16"/>
      <c r="F3" s="16"/>
      <c r="G3" s="16"/>
      <c r="H3" s="16"/>
      <c r="I3" s="16"/>
      <c r="J3" s="16"/>
      <c r="K3" s="16"/>
      <c r="L3" s="16"/>
      <c r="M3" s="16"/>
      <c r="N3" s="16"/>
      <c r="O3" s="16"/>
      <c r="P3" s="17"/>
    </row>
    <row r="4" spans="1:16">
      <c r="A4" s="26" t="s">
        <v>5</v>
      </c>
      <c r="B4" s="32">
        <v>0.89</v>
      </c>
      <c r="C4" s="19">
        <f t="shared" si="0"/>
        <v>0.85226691982173064</v>
      </c>
      <c r="D4" s="19">
        <f>o2pur($B4,D$2)</f>
        <v>0.81613359845215738</v>
      </c>
      <c r="E4" s="19">
        <f t="shared" ref="E4:P18" si="1">o2pur($B4,E$2)</f>
        <v>0.78153221136611828</v>
      </c>
      <c r="F4" s="19"/>
      <c r="G4" s="19"/>
      <c r="H4" s="19"/>
      <c r="I4" s="19"/>
      <c r="J4" s="19"/>
      <c r="K4" s="19"/>
      <c r="L4" s="19"/>
      <c r="M4" s="19"/>
      <c r="N4" s="19"/>
      <c r="O4" s="19"/>
      <c r="P4" s="20"/>
    </row>
    <row r="5" spans="1:16">
      <c r="A5" s="26" t="s">
        <v>6</v>
      </c>
      <c r="B5" s="32">
        <v>0.93</v>
      </c>
      <c r="C5" s="19">
        <f t="shared" si="0"/>
        <v>0.8905710510496736</v>
      </c>
      <c r="D5" s="19">
        <f t="shared" ref="D5:D18" si="2">o2pur($B5,D$2)</f>
        <v>0.85281376018034427</v>
      </c>
      <c r="E5" s="19">
        <f t="shared" si="1"/>
        <v>0.81665725457358429</v>
      </c>
      <c r="F5" s="19">
        <f t="shared" si="1"/>
        <v>0.78203366618595449</v>
      </c>
      <c r="G5" s="19"/>
      <c r="H5" s="19"/>
      <c r="I5" s="19"/>
      <c r="J5" s="19"/>
      <c r="K5" s="19"/>
      <c r="L5" s="19"/>
      <c r="M5" s="19"/>
      <c r="N5" s="19"/>
      <c r="O5" s="19"/>
      <c r="P5" s="20"/>
    </row>
    <row r="6" spans="1:16">
      <c r="A6" s="26" t="s">
        <v>7</v>
      </c>
      <c r="B6" s="32">
        <v>0.98</v>
      </c>
      <c r="C6" s="19">
        <f t="shared" si="0"/>
        <v>0.93845121508460216</v>
      </c>
      <c r="D6" s="19">
        <f t="shared" si="2"/>
        <v>0.89866396234057777</v>
      </c>
      <c r="E6" s="19">
        <f t="shared" si="1"/>
        <v>0.86056355858291667</v>
      </c>
      <c r="F6" s="19">
        <f t="shared" si="1"/>
        <v>0.82407848694864017</v>
      </c>
      <c r="G6" s="19">
        <f t="shared" si="1"/>
        <v>0.78914026265513459</v>
      </c>
      <c r="H6" s="19"/>
      <c r="I6" s="19"/>
      <c r="J6" s="19"/>
      <c r="K6" s="19"/>
      <c r="L6" s="19"/>
      <c r="M6" s="19"/>
      <c r="N6" s="19"/>
      <c r="O6" s="19"/>
      <c r="P6" s="20"/>
    </row>
    <row r="7" spans="1:16">
      <c r="A7" s="26" t="s">
        <v>8</v>
      </c>
      <c r="B7" s="32">
        <v>1.02</v>
      </c>
      <c r="C7" s="19">
        <f t="shared" si="0"/>
        <v>0.97675534631254524</v>
      </c>
      <c r="D7" s="19">
        <f t="shared" si="2"/>
        <v>0.93534412406876466</v>
      </c>
      <c r="E7" s="19">
        <f t="shared" si="1"/>
        <v>0.89568860179038279</v>
      </c>
      <c r="F7" s="19">
        <f t="shared" si="1"/>
        <v>0.85771434355878884</v>
      </c>
      <c r="G7" s="19">
        <f t="shared" si="1"/>
        <v>0.82135006929411969</v>
      </c>
      <c r="H7" s="19">
        <f t="shared" si="1"/>
        <v>0.78652752095804979</v>
      </c>
      <c r="I7" s="19"/>
      <c r="J7" s="19"/>
      <c r="K7" s="19"/>
      <c r="L7" s="19"/>
      <c r="M7" s="19"/>
      <c r="N7" s="19"/>
      <c r="O7" s="19"/>
      <c r="P7" s="20"/>
    </row>
    <row r="8" spans="1:16">
      <c r="A8" s="26" t="s">
        <v>9</v>
      </c>
      <c r="B8" s="32">
        <v>1.07</v>
      </c>
      <c r="C8" s="19">
        <f t="shared" si="0"/>
        <v>1.024635510347474</v>
      </c>
      <c r="D8" s="19">
        <f t="shared" si="2"/>
        <v>0.98119432622899827</v>
      </c>
      <c r="E8" s="19">
        <f t="shared" si="1"/>
        <v>0.93959490579971527</v>
      </c>
      <c r="F8" s="19">
        <f t="shared" si="1"/>
        <v>0.89975916432147462</v>
      </c>
      <c r="G8" s="19">
        <f t="shared" si="1"/>
        <v>0.86161232759285111</v>
      </c>
      <c r="H8" s="19">
        <f t="shared" si="1"/>
        <v>0.82508279159324838</v>
      </c>
      <c r="I8" s="19">
        <f t="shared" si="1"/>
        <v>0.79010198807763221</v>
      </c>
      <c r="J8" s="19"/>
      <c r="K8" s="19"/>
      <c r="L8" s="19"/>
      <c r="M8" s="19"/>
      <c r="N8" s="19"/>
      <c r="O8" s="19"/>
      <c r="P8" s="20"/>
    </row>
    <row r="9" spans="1:16">
      <c r="A9" s="26" t="s">
        <v>10</v>
      </c>
      <c r="B9" s="32">
        <v>1.1100000000000001</v>
      </c>
      <c r="C9" s="19">
        <f t="shared" si="0"/>
        <v>1.0629396415754169</v>
      </c>
      <c r="D9" s="19">
        <f t="shared" si="2"/>
        <v>1.017874487957185</v>
      </c>
      <c r="E9" s="19">
        <f t="shared" si="1"/>
        <v>0.97471994900718129</v>
      </c>
      <c r="F9" s="19">
        <f t="shared" si="1"/>
        <v>0.93339502093162319</v>
      </c>
      <c r="G9" s="19">
        <f t="shared" si="1"/>
        <v>0.89382213423183621</v>
      </c>
      <c r="H9" s="19">
        <f t="shared" si="1"/>
        <v>0.85592700810140721</v>
      </c>
      <c r="I9" s="19">
        <f t="shared" si="1"/>
        <v>0.81963851099642215</v>
      </c>
      <c r="J9" s="19">
        <f t="shared" si="1"/>
        <v>0.78488852711706791</v>
      </c>
      <c r="K9" s="19"/>
      <c r="L9" s="19"/>
      <c r="M9" s="19"/>
      <c r="N9" s="19"/>
      <c r="O9" s="19"/>
      <c r="P9" s="20"/>
    </row>
    <row r="10" spans="1:16">
      <c r="A10" s="26" t="s">
        <v>11</v>
      </c>
      <c r="B10" s="32">
        <v>1.1599999999999999</v>
      </c>
      <c r="C10" s="19">
        <f t="shared" si="0"/>
        <v>1.1108198056103453</v>
      </c>
      <c r="D10" s="19">
        <f t="shared" si="2"/>
        <v>1.0637246901174184</v>
      </c>
      <c r="E10" s="19">
        <f t="shared" si="1"/>
        <v>1.0186262530165135</v>
      </c>
      <c r="F10" s="19">
        <f t="shared" si="1"/>
        <v>0.97543984169430875</v>
      </c>
      <c r="G10" s="19">
        <f t="shared" si="1"/>
        <v>0.93408439253056741</v>
      </c>
      <c r="H10" s="19">
        <f t="shared" si="1"/>
        <v>0.89448227873660557</v>
      </c>
      <c r="I10" s="19">
        <f t="shared" si="1"/>
        <v>0.85655916464490955</v>
      </c>
      <c r="J10" s="19">
        <f t="shared" si="1"/>
        <v>0.82024386617639511</v>
      </c>
      <c r="K10" s="19">
        <f t="shared" si="1"/>
        <v>0.78546821722339766</v>
      </c>
      <c r="L10" s="19"/>
      <c r="M10" s="19"/>
      <c r="N10" s="19"/>
      <c r="O10" s="19"/>
      <c r="P10" s="20"/>
    </row>
    <row r="11" spans="1:16">
      <c r="A11" s="26" t="s">
        <v>12</v>
      </c>
      <c r="B11" s="32">
        <v>1.2</v>
      </c>
      <c r="C11" s="19">
        <f t="shared" si="0"/>
        <v>1.1491239368382884</v>
      </c>
      <c r="D11" s="19">
        <f t="shared" si="2"/>
        <v>1.1004048518456053</v>
      </c>
      <c r="E11" s="19">
        <f t="shared" si="1"/>
        <v>1.0537512962239797</v>
      </c>
      <c r="F11" s="19">
        <f t="shared" si="1"/>
        <v>1.0090756983044573</v>
      </c>
      <c r="G11" s="19">
        <f t="shared" si="1"/>
        <v>0.9662941991695525</v>
      </c>
      <c r="H11" s="19">
        <f t="shared" si="1"/>
        <v>0.9253264952447644</v>
      </c>
      <c r="I11" s="19">
        <f t="shared" si="1"/>
        <v>0.88609568756369961</v>
      </c>
      <c r="J11" s="19">
        <f t="shared" si="1"/>
        <v>0.84852813742385702</v>
      </c>
      <c r="K11" s="19">
        <f t="shared" si="1"/>
        <v>0.81255332816213555</v>
      </c>
      <c r="L11" s="19">
        <f t="shared" si="1"/>
        <v>0.77810373279060574</v>
      </c>
      <c r="M11" s="19"/>
      <c r="N11" s="19"/>
      <c r="O11" s="19"/>
      <c r="P11" s="20"/>
    </row>
    <row r="12" spans="1:16">
      <c r="A12" s="26" t="s">
        <v>13</v>
      </c>
      <c r="B12" s="32">
        <v>1.24</v>
      </c>
      <c r="C12" s="19">
        <f t="shared" si="0"/>
        <v>1.1874280680662315</v>
      </c>
      <c r="D12" s="19">
        <f t="shared" si="2"/>
        <v>1.1370850135737922</v>
      </c>
      <c r="E12" s="19">
        <f t="shared" si="1"/>
        <v>1.0888763394314456</v>
      </c>
      <c r="F12" s="19">
        <f t="shared" si="1"/>
        <v>1.042711554914606</v>
      </c>
      <c r="G12" s="19">
        <f t="shared" si="1"/>
        <v>0.9985040058085376</v>
      </c>
      <c r="H12" s="19">
        <f t="shared" si="1"/>
        <v>0.95617071175292323</v>
      </c>
      <c r="I12" s="19">
        <f t="shared" si="1"/>
        <v>0.91563221048248955</v>
      </c>
      <c r="J12" s="19">
        <f t="shared" si="1"/>
        <v>0.87681240867131893</v>
      </c>
      <c r="K12" s="19">
        <f t="shared" si="1"/>
        <v>0.83963843910087343</v>
      </c>
      <c r="L12" s="19">
        <f t="shared" si="1"/>
        <v>0.80404052388362601</v>
      </c>
      <c r="M12" s="19"/>
      <c r="N12" s="19"/>
      <c r="O12" s="19"/>
      <c r="P12" s="20"/>
    </row>
    <row r="13" spans="1:16">
      <c r="A13" s="26" t="s">
        <v>14</v>
      </c>
      <c r="B13" s="32">
        <v>1.29</v>
      </c>
      <c r="C13" s="19">
        <f t="shared" si="0"/>
        <v>1.2353082321011601</v>
      </c>
      <c r="D13" s="19">
        <f t="shared" si="2"/>
        <v>1.1829352157340258</v>
      </c>
      <c r="E13" s="19">
        <f t="shared" si="1"/>
        <v>1.1327826434407782</v>
      </c>
      <c r="F13" s="19">
        <f t="shared" si="1"/>
        <v>1.0847563756772918</v>
      </c>
      <c r="G13" s="19">
        <f t="shared" si="1"/>
        <v>1.038766264107269</v>
      </c>
      <c r="H13" s="19">
        <f t="shared" si="1"/>
        <v>0.99472598238812182</v>
      </c>
      <c r="I13" s="19">
        <f t="shared" si="1"/>
        <v>0.95255286413097706</v>
      </c>
      <c r="J13" s="19">
        <f t="shared" si="1"/>
        <v>0.91216774773064635</v>
      </c>
      <c r="K13" s="19">
        <f t="shared" si="1"/>
        <v>0.87349482777429577</v>
      </c>
      <c r="L13" s="19">
        <f t="shared" si="1"/>
        <v>0.83646151274990121</v>
      </c>
      <c r="M13" s="19">
        <f t="shared" si="1"/>
        <v>0.80099828878739721</v>
      </c>
      <c r="N13" s="21"/>
      <c r="O13" s="19"/>
      <c r="P13" s="20"/>
    </row>
    <row r="14" spans="1:16">
      <c r="A14" s="26" t="s">
        <v>15</v>
      </c>
      <c r="B14" s="32">
        <v>1.33</v>
      </c>
      <c r="C14" s="19">
        <f t="shared" si="0"/>
        <v>1.273612363329103</v>
      </c>
      <c r="D14" s="19">
        <f t="shared" si="2"/>
        <v>1.2196153774622127</v>
      </c>
      <c r="E14" s="19">
        <f t="shared" si="1"/>
        <v>1.1679076866482443</v>
      </c>
      <c r="F14" s="19">
        <f t="shared" si="1"/>
        <v>1.1183922322874404</v>
      </c>
      <c r="G14" s="19">
        <f t="shared" si="1"/>
        <v>1.0709760707462541</v>
      </c>
      <c r="H14" s="19">
        <f t="shared" si="1"/>
        <v>1.0255701988962806</v>
      </c>
      <c r="I14" s="19">
        <f t="shared" si="1"/>
        <v>0.98208938704976712</v>
      </c>
      <c r="J14" s="19">
        <f t="shared" si="1"/>
        <v>0.94045201897810837</v>
      </c>
      <c r="K14" s="19">
        <f t="shared" si="1"/>
        <v>0.90057993871303366</v>
      </c>
      <c r="L14" s="19">
        <f t="shared" si="1"/>
        <v>0.86239830384292149</v>
      </c>
      <c r="M14" s="19">
        <f t="shared" si="1"/>
        <v>0.82583544502886685</v>
      </c>
      <c r="N14" s="19">
        <f t="shared" si="1"/>
        <v>0.79082273147680948</v>
      </c>
      <c r="O14" s="21"/>
      <c r="P14" s="20"/>
    </row>
    <row r="15" spans="1:16">
      <c r="A15" s="26" t="s">
        <v>16</v>
      </c>
      <c r="B15" s="32">
        <v>1.38</v>
      </c>
      <c r="C15" s="19">
        <f t="shared" si="0"/>
        <v>1.3214925273640317</v>
      </c>
      <c r="D15" s="19">
        <f t="shared" si="2"/>
        <v>1.2654655796224461</v>
      </c>
      <c r="E15" s="19">
        <f t="shared" si="1"/>
        <v>1.2118139906575764</v>
      </c>
      <c r="F15" s="19">
        <f t="shared" si="1"/>
        <v>1.160437053050126</v>
      </c>
      <c r="G15" s="19">
        <f t="shared" si="1"/>
        <v>1.1112383290449854</v>
      </c>
      <c r="H15" s="19">
        <f t="shared" si="1"/>
        <v>1.064125469531479</v>
      </c>
      <c r="I15" s="19">
        <f t="shared" si="1"/>
        <v>1.0190100406982545</v>
      </c>
      <c r="J15" s="19">
        <f t="shared" si="1"/>
        <v>0.97580735803743557</v>
      </c>
      <c r="K15" s="19">
        <f t="shared" si="1"/>
        <v>0.93443632738645588</v>
      </c>
      <c r="L15" s="19">
        <f t="shared" si="1"/>
        <v>0.89481929270919658</v>
      </c>
      <c r="M15" s="19">
        <f t="shared" si="1"/>
        <v>0.85688189033070394</v>
      </c>
      <c r="N15" s="19">
        <f t="shared" si="1"/>
        <v>0.82055290935187741</v>
      </c>
      <c r="O15" s="19">
        <f t="shared" si="1"/>
        <v>0.78576415798211707</v>
      </c>
      <c r="P15" s="22"/>
    </row>
    <row r="16" spans="1:16">
      <c r="A16" s="26" t="s">
        <v>17</v>
      </c>
      <c r="B16" s="32">
        <v>1.42</v>
      </c>
      <c r="C16" s="19">
        <f t="shared" si="0"/>
        <v>1.3597966585919745</v>
      </c>
      <c r="D16" s="19">
        <f t="shared" si="2"/>
        <v>1.302145741350633</v>
      </c>
      <c r="E16" s="19">
        <f t="shared" si="1"/>
        <v>1.2469390338650426</v>
      </c>
      <c r="F16" s="19">
        <f t="shared" si="1"/>
        <v>1.1940729096602745</v>
      </c>
      <c r="G16" s="19">
        <f t="shared" si="1"/>
        <v>1.1434481356839705</v>
      </c>
      <c r="H16" s="19">
        <f t="shared" si="1"/>
        <v>1.0949696860396378</v>
      </c>
      <c r="I16" s="19">
        <f t="shared" si="1"/>
        <v>1.0485465636170446</v>
      </c>
      <c r="J16" s="19">
        <f t="shared" si="1"/>
        <v>1.0040916292848976</v>
      </c>
      <c r="K16" s="19">
        <f t="shared" si="1"/>
        <v>0.96152143832519377</v>
      </c>
      <c r="L16" s="19">
        <f t="shared" si="1"/>
        <v>0.92075608380221685</v>
      </c>
      <c r="M16" s="19">
        <f t="shared" si="1"/>
        <v>0.88171904657217359</v>
      </c>
      <c r="N16" s="19">
        <f t="shared" si="1"/>
        <v>0.84433705165193185</v>
      </c>
      <c r="O16" s="19">
        <f t="shared" si="1"/>
        <v>0.80853993067725094</v>
      </c>
      <c r="P16" s="20">
        <f>o2pur($B16,P$2)</f>
        <v>0.7742604901923329</v>
      </c>
    </row>
    <row r="17" spans="1:16">
      <c r="A17" s="26" t="s">
        <v>18</v>
      </c>
      <c r="B17" s="32">
        <v>1.47</v>
      </c>
      <c r="C17" s="19">
        <f t="shared" si="0"/>
        <v>1.4076768226269034</v>
      </c>
      <c r="D17" s="19">
        <f t="shared" si="2"/>
        <v>1.3479959435108666</v>
      </c>
      <c r="E17" s="19">
        <f t="shared" si="1"/>
        <v>1.2908453378743752</v>
      </c>
      <c r="F17" s="19">
        <f t="shared" si="1"/>
        <v>1.2361177304229602</v>
      </c>
      <c r="G17" s="19">
        <f t="shared" si="1"/>
        <v>1.1837103939827018</v>
      </c>
      <c r="H17" s="19">
        <f t="shared" si="1"/>
        <v>1.1335249566748364</v>
      </c>
      <c r="I17" s="19">
        <f t="shared" si="1"/>
        <v>1.085467217265532</v>
      </c>
      <c r="J17" s="19">
        <f t="shared" si="1"/>
        <v>1.0394469683442249</v>
      </c>
      <c r="K17" s="19">
        <f t="shared" si="1"/>
        <v>0.9953778269986161</v>
      </c>
      <c r="L17" s="19">
        <f t="shared" si="1"/>
        <v>0.95317707266849205</v>
      </c>
      <c r="M17" s="19">
        <f t="shared" si="1"/>
        <v>0.91276549187401068</v>
      </c>
      <c r="N17" s="19">
        <f t="shared" si="1"/>
        <v>0.87406722952699989</v>
      </c>
      <c r="O17" s="19">
        <f t="shared" si="1"/>
        <v>0.83700964654616827</v>
      </c>
      <c r="P17" s="20">
        <f t="shared" si="1"/>
        <v>0.80152318350896434</v>
      </c>
    </row>
    <row r="18" spans="1:16">
      <c r="A18" s="27" t="s">
        <v>19</v>
      </c>
      <c r="B18" s="33">
        <v>1.51</v>
      </c>
      <c r="C18" s="24">
        <f t="shared" si="0"/>
        <v>1.4459809538548463</v>
      </c>
      <c r="D18" s="24">
        <f t="shared" si="2"/>
        <v>1.3846761052390535</v>
      </c>
      <c r="E18" s="24">
        <f t="shared" si="1"/>
        <v>1.3259703810818411</v>
      </c>
      <c r="F18" s="24">
        <f t="shared" si="1"/>
        <v>1.2697535870331089</v>
      </c>
      <c r="G18" s="24">
        <f t="shared" si="1"/>
        <v>1.2159202006216869</v>
      </c>
      <c r="H18" s="24">
        <f t="shared" si="1"/>
        <v>1.1643691731829953</v>
      </c>
      <c r="I18" s="24">
        <f t="shared" si="1"/>
        <v>1.115003740184322</v>
      </c>
      <c r="J18" s="24">
        <f t="shared" si="1"/>
        <v>1.0677312395916869</v>
      </c>
      <c r="K18" s="24">
        <f t="shared" si="1"/>
        <v>1.022462937937354</v>
      </c>
      <c r="L18" s="24">
        <f t="shared" si="1"/>
        <v>0.97911386376151233</v>
      </c>
      <c r="M18" s="24">
        <f t="shared" si="1"/>
        <v>0.93760264811548044</v>
      </c>
      <c r="N18" s="24">
        <f t="shared" si="1"/>
        <v>0.89785137182705443</v>
      </c>
      <c r="O18" s="24">
        <f t="shared" si="1"/>
        <v>0.85978541924130214</v>
      </c>
      <c r="P18" s="25">
        <f t="shared" si="1"/>
        <v>0.82333333816226961</v>
      </c>
    </row>
  </sheetData>
  <mergeCells count="3">
    <mergeCell ref="C1:P1"/>
    <mergeCell ref="B1:B2"/>
    <mergeCell ref="A1:A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H17"/>
  <sheetViews>
    <sheetView workbookViewId="0">
      <selection activeCell="A12" sqref="A12"/>
    </sheetView>
  </sheetViews>
  <sheetFormatPr baseColWidth="10" defaultRowHeight="15.75"/>
  <cols>
    <col min="1" max="1" width="26.125" customWidth="1"/>
    <col min="2" max="2" width="7.375" customWidth="1"/>
    <col min="3" max="3" width="2" customWidth="1"/>
    <col min="4" max="5" width="10" customWidth="1"/>
    <col min="6" max="6" width="1.375" customWidth="1"/>
    <col min="7" max="8" width="5.5" customWidth="1"/>
  </cols>
  <sheetData>
    <row r="1" spans="1:8">
      <c r="A1" s="198" t="s">
        <v>51</v>
      </c>
      <c r="B1" s="199"/>
      <c r="D1" s="197" t="s">
        <v>0</v>
      </c>
      <c r="E1" s="197"/>
      <c r="G1" s="193" t="s">
        <v>3</v>
      </c>
      <c r="H1" s="193"/>
    </row>
    <row r="2" spans="1:8">
      <c r="A2" s="13" t="s">
        <v>20</v>
      </c>
      <c r="B2" s="102">
        <v>1</v>
      </c>
      <c r="D2" s="12" t="s">
        <v>1</v>
      </c>
      <c r="E2" s="12" t="s">
        <v>2</v>
      </c>
      <c r="G2" s="2" t="s">
        <v>4</v>
      </c>
      <c r="H2" s="7">
        <v>0.84</v>
      </c>
    </row>
    <row r="3" spans="1:8">
      <c r="A3" s="14" t="s">
        <v>21</v>
      </c>
      <c r="B3" s="103">
        <v>10</v>
      </c>
      <c r="D3" s="9">
        <v>5</v>
      </c>
      <c r="E3" s="7">
        <v>2.72</v>
      </c>
      <c r="G3" s="2" t="s">
        <v>5</v>
      </c>
      <c r="H3" s="7">
        <v>0.89</v>
      </c>
    </row>
    <row r="4" spans="1:8">
      <c r="A4" s="14" t="s">
        <v>22</v>
      </c>
      <c r="B4" s="104">
        <v>1</v>
      </c>
      <c r="D4" s="9">
        <v>7</v>
      </c>
      <c r="E4" s="7">
        <v>2.54</v>
      </c>
      <c r="G4" s="2" t="s">
        <v>6</v>
      </c>
      <c r="H4" s="7">
        <v>0.93</v>
      </c>
    </row>
    <row r="5" spans="1:8">
      <c r="A5" s="14" t="s">
        <v>23</v>
      </c>
      <c r="B5" s="105">
        <v>15</v>
      </c>
      <c r="D5" s="9">
        <v>10</v>
      </c>
      <c r="E5" s="7">
        <v>2.38</v>
      </c>
      <c r="G5" s="2" t="s">
        <v>7</v>
      </c>
      <c r="H5" s="7">
        <v>0.98</v>
      </c>
    </row>
    <row r="6" spans="1:8">
      <c r="A6" s="14" t="s">
        <v>24</v>
      </c>
      <c r="B6" s="105">
        <v>3</v>
      </c>
      <c r="D6" s="9">
        <v>15</v>
      </c>
      <c r="E6" s="7">
        <v>2.2000000000000002</v>
      </c>
      <c r="G6" s="2" t="s">
        <v>8</v>
      </c>
      <c r="H6" s="7">
        <v>1.02</v>
      </c>
    </row>
    <row r="7" spans="1:8">
      <c r="A7" s="14" t="s">
        <v>49</v>
      </c>
      <c r="B7" s="114">
        <v>0.8</v>
      </c>
      <c r="D7" s="9">
        <v>20</v>
      </c>
      <c r="E7" s="7">
        <v>2.04</v>
      </c>
      <c r="G7" s="2" t="s">
        <v>9</v>
      </c>
      <c r="H7" s="7">
        <v>1.07</v>
      </c>
    </row>
    <row r="8" spans="1:8">
      <c r="A8" s="107" t="s">
        <v>67</v>
      </c>
      <c r="B8" s="110">
        <v>6.2700000000000006E-2</v>
      </c>
      <c r="D8" s="9">
        <v>30</v>
      </c>
      <c r="E8" s="7">
        <v>1.82</v>
      </c>
      <c r="G8" s="2" t="s">
        <v>10</v>
      </c>
      <c r="H8" s="7">
        <v>1.1100000000000001</v>
      </c>
    </row>
    <row r="9" spans="1:8">
      <c r="A9" s="107" t="s">
        <v>102</v>
      </c>
      <c r="B9" s="206" t="b">
        <v>1</v>
      </c>
      <c r="D9" s="9">
        <v>40</v>
      </c>
      <c r="E9" s="7">
        <v>1.68</v>
      </c>
      <c r="G9" s="2" t="s">
        <v>11</v>
      </c>
      <c r="H9" s="7">
        <v>1.1599999999999999</v>
      </c>
    </row>
    <row r="10" spans="1:8">
      <c r="A10" s="108" t="s">
        <v>60</v>
      </c>
      <c r="B10" s="109">
        <f>dens*gravitation/100</f>
        <v>0.1</v>
      </c>
      <c r="D10" s="9">
        <v>50</v>
      </c>
      <c r="E10" s="7">
        <v>1.61</v>
      </c>
      <c r="G10" s="2" t="s">
        <v>12</v>
      </c>
      <c r="H10" s="7">
        <v>1.2</v>
      </c>
    </row>
    <row r="11" spans="1:8" ht="15" customHeight="1">
      <c r="D11" s="9">
        <v>60</v>
      </c>
      <c r="E11" s="7">
        <v>1.58</v>
      </c>
      <c r="G11" s="2" t="s">
        <v>13</v>
      </c>
      <c r="H11" s="7">
        <v>1.24</v>
      </c>
    </row>
    <row r="12" spans="1:8" ht="15" customHeight="1">
      <c r="D12" s="9">
        <v>80</v>
      </c>
      <c r="E12" s="7">
        <v>1.56</v>
      </c>
      <c r="G12" s="2" t="s">
        <v>14</v>
      </c>
      <c r="H12" s="7">
        <v>1.29</v>
      </c>
    </row>
    <row r="13" spans="1:8">
      <c r="A13" s="200" t="s">
        <v>50</v>
      </c>
      <c r="B13" s="201"/>
      <c r="D13" s="9">
        <v>100</v>
      </c>
      <c r="E13" s="7">
        <v>1.55</v>
      </c>
      <c r="G13" s="2" t="s">
        <v>15</v>
      </c>
      <c r="H13" s="7">
        <v>1.33</v>
      </c>
    </row>
    <row r="14" spans="1:8">
      <c r="A14" s="202"/>
      <c r="B14" s="203"/>
      <c r="D14" s="10">
        <v>120</v>
      </c>
      <c r="E14" s="8">
        <v>1.54</v>
      </c>
      <c r="G14" s="2" t="s">
        <v>16</v>
      </c>
      <c r="H14" s="7">
        <v>1.38</v>
      </c>
    </row>
    <row r="15" spans="1:8">
      <c r="A15" s="202"/>
      <c r="B15" s="203"/>
      <c r="G15" s="2" t="s">
        <v>17</v>
      </c>
      <c r="H15" s="7">
        <v>1.42</v>
      </c>
    </row>
    <row r="16" spans="1:8">
      <c r="A16" s="202"/>
      <c r="B16" s="203"/>
      <c r="G16" s="2" t="s">
        <v>18</v>
      </c>
      <c r="H16" s="7">
        <v>1.47</v>
      </c>
    </row>
    <row r="17" spans="1:8" ht="15" customHeight="1">
      <c r="A17" s="204"/>
      <c r="B17" s="205"/>
      <c r="G17" s="3" t="s">
        <v>19</v>
      </c>
      <c r="H17" s="8">
        <v>1.51</v>
      </c>
    </row>
  </sheetData>
  <sheetProtection sheet="1" objects="1" scenarios="1"/>
  <mergeCells count="4">
    <mergeCell ref="D1:E1"/>
    <mergeCell ref="G1:H1"/>
    <mergeCell ref="A1:B1"/>
    <mergeCell ref="A13:B1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recalculer">
                <anchor moveWithCells="1" sizeWithCells="1">
                  <from>
                    <xdr:col>0</xdr:col>
                    <xdr:colOff>733425</xdr:colOff>
                    <xdr:row>10</xdr:row>
                    <xdr:rowOff>28575</xdr:rowOff>
                  </from>
                  <to>
                    <xdr:col>0</xdr:col>
                    <xdr:colOff>1838325</xdr:colOff>
                    <xdr:row>11</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K65"/>
  <sheetViews>
    <sheetView topLeftCell="A25" workbookViewId="0">
      <selection activeCell="J63" sqref="J63"/>
    </sheetView>
  </sheetViews>
  <sheetFormatPr baseColWidth="10" defaultRowHeight="15.75"/>
  <cols>
    <col min="1" max="1" width="2.875" bestFit="1" customWidth="1"/>
    <col min="2" max="11" width="6.625" customWidth="1"/>
  </cols>
  <sheetData>
    <row r="1" spans="1:2">
      <c r="A1">
        <v>10</v>
      </c>
    </row>
    <row r="3" spans="1:2">
      <c r="A3">
        <v>1</v>
      </c>
      <c r="B3" t="s">
        <v>98</v>
      </c>
    </row>
    <row r="4" spans="1:2">
      <c r="A4">
        <v>2</v>
      </c>
      <c r="B4" s="111" t="s">
        <v>92</v>
      </c>
    </row>
    <row r="5" spans="1:2">
      <c r="A5">
        <v>3</v>
      </c>
      <c r="B5" s="111" t="s">
        <v>93</v>
      </c>
    </row>
    <row r="6" spans="1:2">
      <c r="A6">
        <v>4</v>
      </c>
      <c r="B6" s="111" t="s">
        <v>100</v>
      </c>
    </row>
    <row r="7" spans="1:2">
      <c r="A7">
        <v>5</v>
      </c>
      <c r="B7" s="111" t="s">
        <v>101</v>
      </c>
    </row>
    <row r="8" spans="1:2">
      <c r="A8">
        <v>6</v>
      </c>
      <c r="B8" s="111" t="s">
        <v>94</v>
      </c>
    </row>
    <row r="9" spans="1:2">
      <c r="A9">
        <v>7</v>
      </c>
      <c r="B9" s="111" t="s">
        <v>97</v>
      </c>
    </row>
    <row r="10" spans="1:2">
      <c r="A10">
        <v>8</v>
      </c>
      <c r="B10" s="111" t="s">
        <v>96</v>
      </c>
    </row>
    <row r="11" spans="1:2">
      <c r="A11">
        <v>9</v>
      </c>
      <c r="B11" s="111" t="s">
        <v>103</v>
      </c>
    </row>
    <row r="12" spans="1:2">
      <c r="A12">
        <v>10</v>
      </c>
      <c r="B12" s="111" t="s">
        <v>104</v>
      </c>
    </row>
    <row r="13" spans="1:2">
      <c r="B13" s="111"/>
    </row>
    <row r="17" spans="1:11">
      <c r="A17">
        <v>1</v>
      </c>
      <c r="B17" s="126"/>
      <c r="C17" s="127"/>
      <c r="D17" s="127"/>
      <c r="E17" s="127"/>
      <c r="F17" s="127"/>
      <c r="G17" s="127"/>
      <c r="H17" s="127"/>
      <c r="I17" s="127"/>
      <c r="J17" s="127"/>
      <c r="K17" s="128"/>
    </row>
    <row r="18" spans="1:11">
      <c r="B18" s="129"/>
      <c r="C18" s="130"/>
      <c r="D18" s="130"/>
      <c r="E18" s="130"/>
      <c r="F18" s="130"/>
      <c r="G18" s="130"/>
      <c r="H18" s="130"/>
      <c r="I18" s="130"/>
      <c r="J18" s="130"/>
      <c r="K18" s="131"/>
    </row>
    <row r="19" spans="1:11">
      <c r="B19" s="129"/>
      <c r="C19" s="130"/>
      <c r="D19" s="130"/>
      <c r="E19" s="130"/>
      <c r="F19" s="130"/>
      <c r="G19" s="130"/>
      <c r="H19" s="130"/>
      <c r="I19" s="130"/>
      <c r="J19" s="130"/>
      <c r="K19" s="131"/>
    </row>
    <row r="20" spans="1:11">
      <c r="B20" s="132"/>
      <c r="C20" s="133"/>
      <c r="D20" s="134"/>
      <c r="E20" s="134"/>
      <c r="F20" s="134"/>
      <c r="G20" s="134"/>
      <c r="H20" s="134"/>
      <c r="I20" s="134"/>
      <c r="J20" s="134"/>
      <c r="K20" s="135"/>
    </row>
    <row r="22" spans="1:11">
      <c r="A22">
        <v>2</v>
      </c>
      <c r="B22" s="126">
        <v>0</v>
      </c>
      <c r="C22" s="127">
        <v>30</v>
      </c>
      <c r="D22" s="127">
        <v>30</v>
      </c>
      <c r="E22" s="127">
        <v>3</v>
      </c>
      <c r="F22" s="127">
        <v>3</v>
      </c>
      <c r="G22" s="127">
        <v>0</v>
      </c>
      <c r="H22" s="127"/>
      <c r="I22" s="127"/>
      <c r="J22" s="127"/>
      <c r="K22" s="128">
        <v>0</v>
      </c>
    </row>
    <row r="23" spans="1:11">
      <c r="B23" s="129">
        <v>30</v>
      </c>
      <c r="C23" s="130">
        <v>30</v>
      </c>
      <c r="D23" s="130">
        <v>3</v>
      </c>
      <c r="E23" s="130">
        <v>3</v>
      </c>
      <c r="F23" s="130">
        <v>0</v>
      </c>
      <c r="G23" s="130">
        <v>0</v>
      </c>
      <c r="H23" s="130"/>
      <c r="I23" s="130"/>
      <c r="J23" s="130"/>
      <c r="K23" s="131"/>
    </row>
    <row r="24" spans="1:11">
      <c r="B24" s="129">
        <v>20</v>
      </c>
      <c r="C24" s="130"/>
      <c r="D24" s="130">
        <v>15</v>
      </c>
      <c r="E24" s="130"/>
      <c r="F24" s="130">
        <v>6</v>
      </c>
      <c r="G24" s="130"/>
      <c r="H24" s="130"/>
      <c r="I24" s="130"/>
      <c r="J24" s="130"/>
      <c r="K24" s="131"/>
    </row>
    <row r="25" spans="1:11">
      <c r="B25" s="132"/>
      <c r="C25" s="133">
        <v>38.5</v>
      </c>
      <c r="D25" s="134"/>
      <c r="E25" s="134">
        <v>20</v>
      </c>
      <c r="F25" s="134"/>
      <c r="G25" s="134"/>
      <c r="H25" s="134"/>
      <c r="I25" s="134"/>
      <c r="J25" s="134"/>
      <c r="K25" s="135">
        <v>210</v>
      </c>
    </row>
    <row r="27" spans="1:11">
      <c r="A27">
        <v>3</v>
      </c>
      <c r="B27" s="126">
        <v>0</v>
      </c>
      <c r="C27" s="127">
        <v>30</v>
      </c>
      <c r="D27" s="127">
        <v>30</v>
      </c>
      <c r="E27" s="127">
        <v>3</v>
      </c>
      <c r="F27" s="127">
        <v>0</v>
      </c>
      <c r="G27" s="127"/>
      <c r="H27" s="127"/>
      <c r="I27" s="127"/>
      <c r="J27" s="127"/>
      <c r="K27" s="128">
        <v>0</v>
      </c>
    </row>
    <row r="28" spans="1:11">
      <c r="B28" s="129">
        <v>30</v>
      </c>
      <c r="C28" s="130">
        <v>30</v>
      </c>
      <c r="D28" s="130">
        <v>3</v>
      </c>
      <c r="E28" s="130">
        <v>0</v>
      </c>
      <c r="F28" s="130">
        <v>0</v>
      </c>
      <c r="G28" s="130"/>
      <c r="H28" s="130"/>
      <c r="I28" s="130"/>
      <c r="J28" s="130"/>
      <c r="K28" s="131"/>
    </row>
    <row r="29" spans="1:11">
      <c r="B29" s="129">
        <v>20</v>
      </c>
      <c r="C29" s="130"/>
      <c r="D29" s="130">
        <v>1</v>
      </c>
      <c r="E29" s="130">
        <v>6</v>
      </c>
      <c r="F29" s="130"/>
      <c r="G29" s="130"/>
      <c r="H29" s="130"/>
      <c r="I29" s="130"/>
      <c r="J29" s="130"/>
      <c r="K29" s="131"/>
    </row>
    <row r="30" spans="1:11">
      <c r="B30" s="132"/>
      <c r="C30" s="133">
        <v>11.5</v>
      </c>
      <c r="D30" s="134"/>
      <c r="E30" s="134"/>
      <c r="F30" s="134"/>
      <c r="G30" s="134"/>
      <c r="H30" s="134"/>
      <c r="I30" s="134"/>
      <c r="J30" s="134"/>
      <c r="K30" s="135">
        <v>210</v>
      </c>
    </row>
    <row r="32" spans="1:11">
      <c r="A32">
        <v>4</v>
      </c>
      <c r="B32" s="159">
        <v>0</v>
      </c>
      <c r="C32" s="160">
        <v>30</v>
      </c>
      <c r="D32" s="160">
        <v>30</v>
      </c>
      <c r="E32" s="160">
        <v>15</v>
      </c>
      <c r="F32" s="160">
        <v>15</v>
      </c>
      <c r="G32" s="160">
        <v>3</v>
      </c>
      <c r="H32" s="160">
        <v>0</v>
      </c>
      <c r="I32" s="160"/>
      <c r="J32" s="160"/>
      <c r="K32" s="161">
        <v>0</v>
      </c>
    </row>
    <row r="33" spans="1:11">
      <c r="B33" s="162">
        <v>30</v>
      </c>
      <c r="C33" s="163">
        <v>30</v>
      </c>
      <c r="D33" s="163">
        <v>15</v>
      </c>
      <c r="E33" s="163">
        <v>15</v>
      </c>
      <c r="F33" s="163">
        <v>3</v>
      </c>
      <c r="G33" s="163">
        <v>0</v>
      </c>
      <c r="H33" s="163">
        <v>0</v>
      </c>
      <c r="I33" s="163"/>
      <c r="J33" s="163"/>
      <c r="K33" s="164"/>
    </row>
    <row r="34" spans="1:11">
      <c r="B34" s="162">
        <v>20</v>
      </c>
      <c r="C34" s="163"/>
      <c r="D34" s="163">
        <v>10</v>
      </c>
      <c r="E34" s="163"/>
      <c r="F34" s="163">
        <v>6</v>
      </c>
      <c r="G34" s="163">
        <v>6</v>
      </c>
      <c r="H34" s="163"/>
      <c r="I34" s="163"/>
      <c r="J34" s="163"/>
      <c r="K34" s="164"/>
    </row>
    <row r="35" spans="1:11">
      <c r="B35" s="132"/>
      <c r="C35" s="134">
        <v>19</v>
      </c>
      <c r="D35" s="134"/>
      <c r="E35" s="134">
        <v>18</v>
      </c>
      <c r="F35" s="134"/>
      <c r="G35" s="134"/>
      <c r="H35" s="134"/>
      <c r="I35" s="134"/>
      <c r="J35" s="134"/>
      <c r="K35" s="135">
        <v>210</v>
      </c>
    </row>
    <row r="37" spans="1:11">
      <c r="A37">
        <v>5</v>
      </c>
      <c r="B37" s="159">
        <v>0</v>
      </c>
      <c r="C37" s="160">
        <v>15</v>
      </c>
      <c r="D37" s="160">
        <v>15</v>
      </c>
      <c r="E37" s="160">
        <v>30</v>
      </c>
      <c r="F37" s="160">
        <v>30</v>
      </c>
      <c r="G37" s="160">
        <v>3</v>
      </c>
      <c r="H37" s="160">
        <v>3</v>
      </c>
      <c r="I37" s="160">
        <v>0</v>
      </c>
      <c r="J37" s="160"/>
      <c r="K37" s="161">
        <v>0</v>
      </c>
    </row>
    <row r="38" spans="1:11">
      <c r="B38" s="162">
        <v>15</v>
      </c>
      <c r="C38" s="163">
        <v>15</v>
      </c>
      <c r="D38" s="163">
        <v>30</v>
      </c>
      <c r="E38" s="163">
        <v>30</v>
      </c>
      <c r="F38" s="163">
        <v>3</v>
      </c>
      <c r="G38" s="163">
        <v>3</v>
      </c>
      <c r="H38" s="163">
        <v>0</v>
      </c>
      <c r="I38" s="163">
        <v>0</v>
      </c>
      <c r="J38" s="163"/>
      <c r="K38" s="164"/>
    </row>
    <row r="39" spans="1:11">
      <c r="B39" s="162">
        <v>20</v>
      </c>
      <c r="C39" s="163"/>
      <c r="D39" s="163">
        <v>10</v>
      </c>
      <c r="E39" s="163"/>
      <c r="F39" s="163">
        <v>6</v>
      </c>
      <c r="G39" s="163"/>
      <c r="H39" s="163">
        <v>6</v>
      </c>
      <c r="I39" s="163"/>
      <c r="J39" s="163"/>
      <c r="K39" s="164"/>
    </row>
    <row r="40" spans="1:11">
      <c r="B40" s="132"/>
      <c r="C40" s="134">
        <v>19</v>
      </c>
      <c r="D40" s="134"/>
      <c r="E40" s="134">
        <v>18</v>
      </c>
      <c r="F40" s="134"/>
      <c r="G40" s="134">
        <v>5</v>
      </c>
      <c r="H40" s="134"/>
      <c r="I40" s="134"/>
      <c r="J40" s="134"/>
      <c r="K40" s="135">
        <v>210</v>
      </c>
    </row>
    <row r="42" spans="1:11">
      <c r="A42">
        <v>6</v>
      </c>
      <c r="B42" s="159">
        <v>0</v>
      </c>
      <c r="C42" s="160">
        <v>60</v>
      </c>
      <c r="D42" s="160">
        <v>60</v>
      </c>
      <c r="E42" s="160">
        <v>6</v>
      </c>
      <c r="F42" s="160">
        <v>6</v>
      </c>
      <c r="G42" s="160">
        <v>3</v>
      </c>
      <c r="H42" s="160">
        <v>3</v>
      </c>
      <c r="I42" s="160">
        <v>0</v>
      </c>
      <c r="J42" s="160"/>
      <c r="K42" s="161">
        <v>0</v>
      </c>
    </row>
    <row r="43" spans="1:11">
      <c r="B43" s="162">
        <v>60</v>
      </c>
      <c r="C43" s="163">
        <v>60</v>
      </c>
      <c r="D43" s="163">
        <v>6</v>
      </c>
      <c r="E43" s="163">
        <v>6</v>
      </c>
      <c r="F43" s="163">
        <v>3</v>
      </c>
      <c r="G43" s="163">
        <v>3</v>
      </c>
      <c r="H43" s="163">
        <v>0</v>
      </c>
      <c r="I43" s="163">
        <v>0</v>
      </c>
      <c r="J43" s="163"/>
      <c r="K43" s="164"/>
    </row>
    <row r="44" spans="1:11">
      <c r="B44" s="162">
        <v>20</v>
      </c>
      <c r="C44" s="163"/>
      <c r="D44" s="163">
        <v>15</v>
      </c>
      <c r="E44" s="163"/>
      <c r="F44" s="163">
        <v>6</v>
      </c>
      <c r="G44" s="163"/>
      <c r="H44" s="163">
        <v>6</v>
      </c>
      <c r="I44" s="163"/>
      <c r="J44" s="163"/>
      <c r="K44" s="164"/>
    </row>
    <row r="45" spans="1:11">
      <c r="B45" s="132"/>
      <c r="C45" s="134">
        <v>7</v>
      </c>
      <c r="D45" s="134"/>
      <c r="E45" s="134">
        <v>1</v>
      </c>
      <c r="F45" s="134"/>
      <c r="G45" s="134">
        <v>4</v>
      </c>
      <c r="H45" s="134"/>
      <c r="I45" s="134"/>
      <c r="J45" s="134"/>
      <c r="K45" s="135">
        <v>210</v>
      </c>
    </row>
    <row r="47" spans="1:11">
      <c r="A47">
        <v>7</v>
      </c>
      <c r="B47" s="159">
        <v>0</v>
      </c>
      <c r="C47" s="160">
        <v>60</v>
      </c>
      <c r="D47" s="160">
        <v>60</v>
      </c>
      <c r="E47" s="160">
        <v>6</v>
      </c>
      <c r="F47" s="160">
        <v>6</v>
      </c>
      <c r="G47" s="160">
        <v>3</v>
      </c>
      <c r="H47" s="160">
        <v>3</v>
      </c>
      <c r="I47" s="160">
        <v>0</v>
      </c>
      <c r="J47" s="160"/>
      <c r="K47" s="161">
        <v>0</v>
      </c>
    </row>
    <row r="48" spans="1:11">
      <c r="B48" s="162">
        <v>60</v>
      </c>
      <c r="C48" s="163">
        <v>60</v>
      </c>
      <c r="D48" s="163">
        <v>6</v>
      </c>
      <c r="E48" s="163">
        <v>6</v>
      </c>
      <c r="F48" s="163">
        <v>3</v>
      </c>
      <c r="G48" s="163">
        <v>3</v>
      </c>
      <c r="H48" s="163">
        <v>0</v>
      </c>
      <c r="I48" s="163">
        <v>0</v>
      </c>
      <c r="J48" s="163"/>
      <c r="K48" s="164"/>
    </row>
    <row r="49" spans="1:11">
      <c r="B49" s="162"/>
      <c r="C49" s="163"/>
      <c r="D49" s="163"/>
      <c r="E49" s="163"/>
      <c r="F49" s="163"/>
      <c r="G49" s="163"/>
      <c r="H49" s="163">
        <v>6</v>
      </c>
      <c r="I49" s="163"/>
      <c r="J49" s="163"/>
      <c r="K49" s="164"/>
    </row>
    <row r="50" spans="1:11">
      <c r="B50" s="132">
        <v>0</v>
      </c>
      <c r="C50" s="134">
        <v>10</v>
      </c>
      <c r="D50" s="134">
        <v>0</v>
      </c>
      <c r="E50" s="134">
        <v>2</v>
      </c>
      <c r="F50" s="134">
        <v>0</v>
      </c>
      <c r="G50" s="134">
        <v>6</v>
      </c>
      <c r="H50" s="134"/>
      <c r="I50" s="134"/>
      <c r="J50" s="134"/>
      <c r="K50" s="135">
        <v>210</v>
      </c>
    </row>
    <row r="52" spans="1:11">
      <c r="A52">
        <v>8</v>
      </c>
      <c r="B52" s="159">
        <v>0</v>
      </c>
      <c r="C52" s="160">
        <v>60</v>
      </c>
      <c r="D52" s="160">
        <v>60</v>
      </c>
      <c r="E52" s="160">
        <v>33</v>
      </c>
      <c r="F52" s="160">
        <v>33</v>
      </c>
      <c r="G52" s="160">
        <v>6</v>
      </c>
      <c r="H52" s="160">
        <v>6</v>
      </c>
      <c r="I52" s="160">
        <v>3</v>
      </c>
      <c r="J52" s="160">
        <v>3</v>
      </c>
      <c r="K52" s="161">
        <v>0</v>
      </c>
    </row>
    <row r="53" spans="1:11">
      <c r="B53" s="162">
        <v>60</v>
      </c>
      <c r="C53" s="163">
        <v>60</v>
      </c>
      <c r="D53" s="163">
        <v>33</v>
      </c>
      <c r="E53" s="163">
        <v>33</v>
      </c>
      <c r="F53" s="163">
        <v>6</v>
      </c>
      <c r="G53" s="163">
        <v>6</v>
      </c>
      <c r="H53" s="163">
        <v>3</v>
      </c>
      <c r="I53" s="163">
        <v>3</v>
      </c>
      <c r="J53" s="163">
        <v>0</v>
      </c>
      <c r="K53" s="164"/>
    </row>
    <row r="54" spans="1:11">
      <c r="B54" s="162"/>
      <c r="C54" s="163"/>
      <c r="D54" s="163"/>
      <c r="E54" s="163"/>
      <c r="F54" s="163"/>
      <c r="G54" s="163"/>
      <c r="H54" s="163"/>
      <c r="I54" s="163"/>
      <c r="J54" s="163"/>
      <c r="K54" s="164"/>
    </row>
    <row r="55" spans="1:11">
      <c r="B55" s="132">
        <v>0</v>
      </c>
      <c r="C55" s="134">
        <v>10</v>
      </c>
      <c r="D55" s="134">
        <v>0</v>
      </c>
      <c r="E55" s="134">
        <v>3.6</v>
      </c>
      <c r="F55" s="134">
        <v>0</v>
      </c>
      <c r="G55" s="134">
        <v>2</v>
      </c>
      <c r="H55" s="134">
        <v>0</v>
      </c>
      <c r="I55" s="134">
        <v>6</v>
      </c>
      <c r="J55" s="134"/>
      <c r="K55" s="135">
        <v>210</v>
      </c>
    </row>
    <row r="57" spans="1:11">
      <c r="A57">
        <v>9</v>
      </c>
      <c r="B57" s="159">
        <v>0</v>
      </c>
      <c r="C57" s="160">
        <v>60</v>
      </c>
      <c r="D57" s="160">
        <v>60</v>
      </c>
      <c r="E57" s="160">
        <v>6</v>
      </c>
      <c r="F57" s="160">
        <v>6</v>
      </c>
      <c r="G57" s="160">
        <v>3</v>
      </c>
      <c r="H57" s="160">
        <v>3</v>
      </c>
      <c r="I57" s="160"/>
      <c r="J57" s="160"/>
      <c r="K57" s="161">
        <v>0</v>
      </c>
    </row>
    <row r="58" spans="1:11">
      <c r="B58" s="162">
        <v>60</v>
      </c>
      <c r="C58" s="163">
        <v>60</v>
      </c>
      <c r="D58" s="163">
        <v>6</v>
      </c>
      <c r="E58" s="163">
        <v>6</v>
      </c>
      <c r="F58" s="163">
        <v>3</v>
      </c>
      <c r="G58" s="163">
        <v>3</v>
      </c>
      <c r="H58" s="163">
        <v>0</v>
      </c>
      <c r="I58" s="163"/>
      <c r="J58" s="163"/>
      <c r="K58" s="164"/>
    </row>
    <row r="59" spans="1:11">
      <c r="B59" s="162">
        <v>20</v>
      </c>
      <c r="C59" s="163"/>
      <c r="D59" s="163">
        <v>15</v>
      </c>
      <c r="E59" s="163"/>
      <c r="F59" s="163">
        <v>6</v>
      </c>
      <c r="G59" s="163"/>
      <c r="H59" s="163">
        <v>6</v>
      </c>
      <c r="I59" s="163"/>
      <c r="J59" s="163"/>
      <c r="K59" s="164"/>
    </row>
    <row r="60" spans="1:11">
      <c r="B60" s="132"/>
      <c r="C60" s="134">
        <v>12</v>
      </c>
      <c r="D60" s="134"/>
      <c r="E60" s="134">
        <v>4</v>
      </c>
      <c r="F60" s="134"/>
      <c r="G60" s="134">
        <v>12</v>
      </c>
      <c r="H60" s="134"/>
      <c r="I60" s="134"/>
      <c r="J60" s="134"/>
      <c r="K60" s="135">
        <v>210</v>
      </c>
    </row>
    <row r="62" spans="1:11">
      <c r="A62">
        <v>10</v>
      </c>
      <c r="B62" s="159">
        <v>0</v>
      </c>
      <c r="C62" s="160">
        <v>60</v>
      </c>
      <c r="D62" s="160">
        <v>60</v>
      </c>
      <c r="E62" s="160">
        <v>9</v>
      </c>
      <c r="F62" s="160">
        <v>9</v>
      </c>
      <c r="G62" s="160">
        <v>6</v>
      </c>
      <c r="H62" s="160">
        <v>6</v>
      </c>
      <c r="I62" s="160">
        <v>3</v>
      </c>
      <c r="J62" s="160">
        <v>3</v>
      </c>
      <c r="K62" s="161">
        <v>0</v>
      </c>
    </row>
    <row r="63" spans="1:11">
      <c r="B63" s="162">
        <v>60</v>
      </c>
      <c r="C63" s="163">
        <v>60</v>
      </c>
      <c r="D63" s="163">
        <v>9</v>
      </c>
      <c r="E63" s="163">
        <v>9</v>
      </c>
      <c r="F63" s="163">
        <v>6</v>
      </c>
      <c r="G63" s="163">
        <v>6</v>
      </c>
      <c r="H63" s="163">
        <v>3</v>
      </c>
      <c r="I63" s="163">
        <v>3</v>
      </c>
      <c r="J63" s="163">
        <v>0</v>
      </c>
      <c r="K63" s="164"/>
    </row>
    <row r="64" spans="1:11">
      <c r="B64" s="162">
        <v>20</v>
      </c>
      <c r="C64" s="163"/>
      <c r="D64" s="163">
        <v>15</v>
      </c>
      <c r="E64" s="163"/>
      <c r="F64" s="163">
        <v>6</v>
      </c>
      <c r="G64" s="163"/>
      <c r="H64" s="163">
        <v>6</v>
      </c>
      <c r="I64" s="163"/>
      <c r="J64" s="163">
        <v>6</v>
      </c>
      <c r="K64" s="164"/>
    </row>
    <row r="65" spans="2:11">
      <c r="B65" s="132"/>
      <c r="C65" s="134">
        <v>17</v>
      </c>
      <c r="D65" s="134"/>
      <c r="E65" s="134">
        <v>3</v>
      </c>
      <c r="F65" s="134"/>
      <c r="G65" s="134">
        <v>5</v>
      </c>
      <c r="H65" s="134"/>
      <c r="I65" s="134">
        <v>26</v>
      </c>
      <c r="J65" s="134"/>
      <c r="K65" s="135">
        <v>210</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9</vt:i4>
      </vt:variant>
    </vt:vector>
  </HeadingPairs>
  <TitlesOfParts>
    <vt:vector size="18" baseType="lpstr">
      <vt:lpstr>Aide</vt:lpstr>
      <vt:lpstr>Tensions</vt:lpstr>
      <vt:lpstr>MN90</vt:lpstr>
      <vt:lpstr>Tables</vt:lpstr>
      <vt:lpstr>Azote résiduel</vt:lpstr>
      <vt:lpstr>Majoration</vt:lpstr>
      <vt:lpstr>O2 pur</vt:lpstr>
      <vt:lpstr>Paramètres</vt:lpstr>
      <vt:lpstr>Exemples de profil</vt:lpstr>
      <vt:lpstr>dens</vt:lpstr>
      <vt:lpstr>dp</vt:lpstr>
      <vt:lpstr>gravitation</vt:lpstr>
      <vt:lpstr>msw</vt:lpstr>
      <vt:lpstr>Patm</vt:lpstr>
      <vt:lpstr>pctN2</vt:lpstr>
      <vt:lpstr>Pwvp</vt:lpstr>
      <vt:lpstr>use_schreiner</vt:lpstr>
      <vt:lpstr>vr</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Tables MN90</dc:title>
  <dc:subject/>
  <dc:creator>René DEVICHI</dc:creator>
  <cp:keywords/>
  <dc:description/>
  <cp:lastModifiedBy>René Devichi</cp:lastModifiedBy>
  <dcterms:created xsi:type="dcterms:W3CDTF">2015-08-07T19:07:46Z</dcterms:created>
  <dcterms:modified xsi:type="dcterms:W3CDTF">2015-08-13T19:30:44Z</dcterms:modified>
  <cp:category/>
</cp:coreProperties>
</file>